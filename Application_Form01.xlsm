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umar\OneDrive\Desktop\VBA&amp;Macros\VBA\"/>
    </mc:Choice>
  </mc:AlternateContent>
  <xr:revisionPtr revIDLastSave="0" documentId="13_ncr:1_{BD4E4E42-5B50-4482-8C05-AB56C8C644E1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Main" sheetId="1" r:id="rId1"/>
    <sheet name="Sheet2" sheetId="2" state="hidden" r:id="rId2"/>
  </sheets>
  <definedNames>
    <definedName name="Installment">Sheet2!$I$2:$I$5</definedName>
    <definedName name="PAYMETHOD">Sheet2!$H$2:$H$6</definedName>
    <definedName name="SearchList">OFFSET(Sheet2!$G$1,1,0,COUNTIF(Sheet2!$G$2:$G$21,"?*"),1)</definedName>
  </definedNames>
  <calcPr calcId="191029" iterate="1" iterateCount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2" l="1"/>
  <c r="J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F4" i="2" l="1"/>
  <c r="G4" i="2" s="1"/>
  <c r="F6" i="2"/>
  <c r="G6" i="2" s="1"/>
  <c r="F18" i="2"/>
  <c r="G18" i="2" s="1"/>
  <c r="F10" i="2"/>
  <c r="G10" i="2" s="1"/>
  <c r="F21" i="2"/>
  <c r="G21" i="2" s="1"/>
  <c r="F17" i="2"/>
  <c r="G17" i="2" s="1"/>
  <c r="F13" i="2"/>
  <c r="G13" i="2" s="1"/>
  <c r="F9" i="2"/>
  <c r="G9" i="2" s="1"/>
  <c r="F5" i="2"/>
  <c r="G5" i="2" s="1"/>
  <c r="F14" i="2"/>
  <c r="G14" i="2" s="1"/>
  <c r="F20" i="2"/>
  <c r="G20" i="2" s="1"/>
  <c r="F16" i="2"/>
  <c r="G16" i="2" s="1"/>
  <c r="F12" i="2"/>
  <c r="G12" i="2" s="1"/>
  <c r="F8" i="2"/>
  <c r="G8" i="2" s="1"/>
  <c r="F2" i="2"/>
  <c r="G2" i="2" s="1"/>
  <c r="F19" i="2"/>
  <c r="G19" i="2" s="1"/>
  <c r="F15" i="2"/>
  <c r="G15" i="2" s="1"/>
  <c r="F11" i="2"/>
  <c r="G11" i="2" s="1"/>
  <c r="F7" i="2"/>
  <c r="G7" i="2" s="1"/>
  <c r="F3" i="2"/>
  <c r="G3" i="2" s="1"/>
  <c r="K3" i="2" l="1"/>
  <c r="K7" i="2"/>
  <c r="K11" i="2"/>
  <c r="K15" i="2"/>
  <c r="K19" i="2"/>
  <c r="K4" i="2"/>
  <c r="K8" i="2"/>
  <c r="K12" i="2"/>
  <c r="K16" i="2"/>
  <c r="K20" i="2"/>
  <c r="K5" i="2"/>
  <c r="K9" i="2"/>
  <c r="K13" i="2"/>
  <c r="K17" i="2"/>
  <c r="K21" i="2"/>
  <c r="K6" i="2"/>
  <c r="K10" i="2"/>
  <c r="K14" i="2"/>
  <c r="K18" i="2"/>
  <c r="K2" i="2"/>
  <c r="L2" i="2"/>
  <c r="L3" i="2"/>
  <c r="L7" i="2"/>
  <c r="L11" i="2"/>
  <c r="L15" i="2"/>
  <c r="L19" i="2"/>
  <c r="L14" i="2"/>
  <c r="L4" i="2"/>
  <c r="L8" i="2"/>
  <c r="L12" i="2"/>
  <c r="L16" i="2"/>
  <c r="L20" i="2"/>
  <c r="L6" i="2"/>
  <c r="L18" i="2"/>
  <c r="L5" i="2"/>
  <c r="L9" i="2"/>
  <c r="L13" i="2"/>
  <c r="L17" i="2"/>
  <c r="L21" i="2"/>
  <c r="L10" i="2"/>
</calcChain>
</file>

<file path=xl/sharedStrings.xml><?xml version="1.0" encoding="utf-8"?>
<sst xmlns="http://schemas.openxmlformats.org/spreadsheetml/2006/main" count="88" uniqueCount="44">
  <si>
    <t>Date</t>
  </si>
  <si>
    <t>SR. NO</t>
  </si>
  <si>
    <t>Reg. no</t>
  </si>
  <si>
    <t>Name</t>
  </si>
  <si>
    <t>Amount</t>
  </si>
  <si>
    <t>Narration</t>
  </si>
  <si>
    <t>NAME</t>
  </si>
  <si>
    <t>RAM</t>
  </si>
  <si>
    <t>SHYAM</t>
  </si>
  <si>
    <t>MOHAN</t>
  </si>
  <si>
    <t>MANU</t>
  </si>
  <si>
    <t>RAJU</t>
  </si>
  <si>
    <t>SONU</t>
  </si>
  <si>
    <t>BOBBY</t>
  </si>
  <si>
    <t>SAGAR</t>
  </si>
  <si>
    <t>PANKAJ</t>
  </si>
  <si>
    <t>SUMIT</t>
  </si>
  <si>
    <t>RINA</t>
  </si>
  <si>
    <t>SEEMA</t>
  </si>
  <si>
    <t>DEEPA</t>
  </si>
  <si>
    <t>POOJA</t>
  </si>
  <si>
    <t>ANURAG</t>
  </si>
  <si>
    <t>SHRUTI</t>
  </si>
  <si>
    <t>DEEPTI</t>
  </si>
  <si>
    <t>MITHALI</t>
  </si>
  <si>
    <t>UJJWAL</t>
  </si>
  <si>
    <t>RAMESH</t>
  </si>
  <si>
    <t>Cash</t>
  </si>
  <si>
    <t>Phone Pe</t>
  </si>
  <si>
    <t>G Pay</t>
  </si>
  <si>
    <t>Paytm</t>
  </si>
  <si>
    <t>Amazon UPI</t>
  </si>
  <si>
    <t>method</t>
  </si>
  <si>
    <t>1st Installment</t>
  </si>
  <si>
    <t>2nd Installment</t>
  </si>
  <si>
    <t>3rd Installment</t>
  </si>
  <si>
    <t>finalInstallment</t>
  </si>
  <si>
    <t>PARTY</t>
  </si>
  <si>
    <t>null</t>
  </si>
  <si>
    <t>final Installment</t>
  </si>
  <si>
    <t>CASH</t>
  </si>
  <si>
    <t>Rechage</t>
  </si>
  <si>
    <t>fOC</t>
  </si>
  <si>
    <t>SEND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</si>
</sst>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000000"/>
  </numFmts>
  <fonts count="3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FF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0" borderId="1" xfId="0" applyBorder="1"/>
    <xf numFmtId="0" fontId="0" fillId="2" borderId="2" xfId="0" applyFill="1" applyBorder="1"/>
    <xf numFmtId="15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Medium2" defaultPivotStyle="PivotStyleLight16">
    <tableStyle name="Invisible" pivot="0" table="0" count="0" xr9:uid="{AD054BCD-D354-47FC-82E2-52BA80CF08E9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350520</xdr:colOff>
          <xdr:row>0</xdr:row>
          <xdr:rowOff>22860</xdr:rowOff>
        </xdr:from>
        <xdr:to>
          <xdr:col>9</xdr:col>
          <xdr:colOff>0</xdr:colOff>
          <xdr:row>0</xdr:row>
          <xdr:rowOff>289560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274320</xdr:colOff>
          <xdr:row>0</xdr:row>
          <xdr:rowOff>30480</xdr:rowOff>
        </xdr:from>
        <xdr:to>
          <xdr:col>10</xdr:col>
          <xdr:colOff>571500</xdr:colOff>
          <xdr:row>0</xdr:row>
          <xdr:rowOff>297180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PrintPreview</a:t>
              </a:r>
            </a:p>
            <a:p>
              <a:pPr algn="ctr" rtl="0">
                <a:defRPr sz="1000"/>
              </a:pPr>
              <a:endParaRPr lang="en-IN" sz="1200" b="1" i="0" u="none" strike="noStrike" baseline="0">
                <a:solidFill>
                  <a:srgbClr val="0000FF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G24"/>
  <sheetViews>
    <sheetView tabSelected="1" zoomScaleNormal="100" workbookViewId="0">
      <pane ySplit="1" topLeftCell="A2" activePane="bottomLeft" state="frozen"/>
      <selection activeCell="I3" sqref="I3"/>
      <selection pane="bottomLeft" activeCell="F22" sqref="F22"/>
    </sheetView>
  </sheetViews>
  <sheetFormatPr defaultRowHeight="14.4" x14ac:dyDescent="0.3"/>
  <cols>
    <col min="1" max="6" width="13.33203125" customWidth="1"/>
    <col min="7" max="7" width="16.109375" customWidth="1"/>
  </cols>
  <sheetData>
    <row r="1" spans="1:7" ht="25.2" customHeight="1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32</v>
      </c>
      <c r="G1" s="2" t="s">
        <v>5</v>
      </c>
    </row>
    <row r="2" spans="1:7" x14ac:dyDescent="0.3">
      <c r="A2" s="5">
        <v>45047</v>
      </c>
      <c r="B2" s="6">
        <v>1</v>
      </c>
      <c r="C2" s="6">
        <v>1</v>
      </c>
      <c r="D2" t="s">
        <v>9</v>
      </c>
      <c r="E2">
        <v>200</v>
      </c>
      <c r="F2" t="s">
        <v>30</v>
      </c>
      <c r="G2" t="s">
        <v>34</v>
      </c>
    </row>
    <row r="3" spans="1:7" x14ac:dyDescent="0.3">
      <c r="A3" s="5">
        <v>45047</v>
      </c>
      <c r="B3" s="6">
        <v>2</v>
      </c>
      <c r="C3" s="6">
        <v>2</v>
      </c>
      <c r="D3" t="s">
        <v>19</v>
      </c>
      <c r="E3">
        <v>220</v>
      </c>
      <c r="F3" t="s">
        <v>31</v>
      </c>
      <c r="G3" t="s">
        <v>33</v>
      </c>
    </row>
    <row r="4" spans="1:7" x14ac:dyDescent="0.3">
      <c r="A4" s="5">
        <v>45047</v>
      </c>
      <c r="B4" s="6">
        <v>3</v>
      </c>
      <c r="C4" s="6">
        <v>3</v>
      </c>
      <c r="D4" t="s">
        <v>8</v>
      </c>
      <c r="E4">
        <v>400</v>
      </c>
      <c r="F4" t="s">
        <v>27</v>
      </c>
      <c r="G4" t="s">
        <v>35</v>
      </c>
    </row>
    <row r="5" spans="1:7" x14ac:dyDescent="0.3">
      <c r="A5" s="5">
        <v>45047</v>
      </c>
      <c r="B5" s="6">
        <v>4</v>
      </c>
      <c r="C5" s="6">
        <v>4</v>
      </c>
      <c r="D5" t="s">
        <v>17</v>
      </c>
      <c r="E5">
        <v>630</v>
      </c>
      <c r="F5" t="s">
        <v>28</v>
      </c>
      <c r="G5" t="s">
        <v>36</v>
      </c>
    </row>
    <row r="6" spans="1:7" x14ac:dyDescent="0.3">
      <c r="A6" s="5">
        <v>45047</v>
      </c>
      <c r="B6" s="6">
        <v>5</v>
      </c>
      <c r="C6" s="6">
        <v>5</v>
      </c>
      <c r="D6" t="s">
        <v>25</v>
      </c>
      <c r="E6">
        <v>650</v>
      </c>
      <c r="F6" t="s">
        <v>30</v>
      </c>
      <c r="G6" t="s">
        <v>36</v>
      </c>
    </row>
    <row r="7" spans="1:7" x14ac:dyDescent="0.3">
      <c r="A7" s="5">
        <v>45048</v>
      </c>
      <c r="B7" s="6">
        <v>6</v>
      </c>
      <c r="C7" s="6">
        <v>6</v>
      </c>
      <c r="D7" t="s">
        <v>13</v>
      </c>
      <c r="E7">
        <v>470</v>
      </c>
      <c r="F7" t="s">
        <v>29</v>
      </c>
      <c r="G7" t="s">
        <v>37</v>
      </c>
    </row>
    <row r="8" spans="1:7" x14ac:dyDescent="0.3">
      <c r="A8" s="5">
        <v>45048</v>
      </c>
      <c r="B8" s="6">
        <v>7</v>
      </c>
      <c r="C8" s="6">
        <v>7</v>
      </c>
      <c r="D8" t="s">
        <v>10</v>
      </c>
      <c r="E8">
        <v>350</v>
      </c>
      <c r="F8" t="s">
        <v>30</v>
      </c>
      <c r="G8" t="s">
        <v>36</v>
      </c>
    </row>
    <row r="9" spans="1:7" x14ac:dyDescent="0.3">
      <c r="A9" s="5">
        <v>45052</v>
      </c>
      <c r="B9" s="6">
        <v>8</v>
      </c>
      <c r="C9" s="6">
        <v>8</v>
      </c>
      <c r="D9" t="s">
        <v>14</v>
      </c>
      <c r="E9">
        <v>400</v>
      </c>
      <c r="F9" t="s">
        <v>28</v>
      </c>
      <c r="G9" t="s">
        <v>33</v>
      </c>
    </row>
    <row r="10" spans="1:7" x14ac:dyDescent="0.3">
      <c r="A10" s="5">
        <v>45052</v>
      </c>
      <c r="B10" s="6">
        <v>9</v>
      </c>
      <c r="C10" s="6">
        <v>9</v>
      </c>
      <c r="D10" t="s">
        <v>25</v>
      </c>
      <c r="E10">
        <v>600</v>
      </c>
      <c r="F10" t="s">
        <v>30</v>
      </c>
      <c r="G10" t="s">
        <v>35</v>
      </c>
    </row>
    <row r="11" spans="1:7" x14ac:dyDescent="0.3">
      <c r="A11" s="5">
        <v>45052</v>
      </c>
      <c r="B11" s="6">
        <v>10</v>
      </c>
      <c r="C11" s="6">
        <v>10</v>
      </c>
      <c r="D11" t="s">
        <v>16</v>
      </c>
      <c r="E11">
        <v>500</v>
      </c>
      <c r="F11" t="s">
        <v>30</v>
      </c>
      <c r="G11" t="s">
        <v>33</v>
      </c>
    </row>
    <row r="12" spans="1:7" x14ac:dyDescent="0.3">
      <c r="A12" s="5">
        <v>45829</v>
      </c>
      <c r="B12" s="6">
        <v>11</v>
      </c>
      <c r="C12" s="6">
        <v>11</v>
      </c>
      <c r="D12" t="s">
        <v>14</v>
      </c>
      <c r="E12">
        <v>100</v>
      </c>
      <c r="F12" t="s">
        <v>30</v>
      </c>
      <c r="G12" t="s">
        <v>38</v>
      </c>
    </row>
    <row r="13" spans="1:7" x14ac:dyDescent="0.3">
      <c r="A13" s="5">
        <v>45955</v>
      </c>
      <c r="B13" s="6">
        <v>13</v>
      </c>
      <c r="C13" s="6">
        <v>13</v>
      </c>
      <c r="D13" t="s">
        <v>21</v>
      </c>
      <c r="E13">
        <v>200</v>
      </c>
      <c r="F13" t="s">
        <v>30</v>
      </c>
      <c r="G13" t="s">
        <v>40</v>
      </c>
    </row>
    <row r="14" spans="1:7" x14ac:dyDescent="0.3">
      <c r="A14" s="5">
        <v>45955</v>
      </c>
      <c r="B14" s="6">
        <v>14</v>
      </c>
      <c r="C14" s="6">
        <v>14</v>
      </c>
      <c r="D14" t="s">
        <v>19</v>
      </c>
      <c r="E14">
        <v>300</v>
      </c>
      <c r="F14" t="s">
        <v>28</v>
      </c>
      <c r="G14" t="s">
        <v>41</v>
      </c>
    </row>
    <row r="15" spans="1:7" x14ac:dyDescent="0.3">
      <c r="A15" s="5">
        <v>45955</v>
      </c>
      <c r="B15" s="6">
        <v>15</v>
      </c>
      <c r="C15" s="6">
        <v>15</v>
      </c>
      <c r="D15" t="s">
        <v>16</v>
      </c>
      <c r="E15">
        <v>500</v>
      </c>
      <c r="F15" t="s">
        <v>28</v>
      </c>
      <c r="G15" t="s">
        <v>39</v>
      </c>
    </row>
    <row r="16" spans="1:7" x14ac:dyDescent="0.3">
      <c r="A16" s="5">
        <v>45955</v>
      </c>
      <c r="B16" s="6">
        <v>16</v>
      </c>
      <c r="C16" s="6">
        <v>16</v>
      </c>
      <c r="D16" t="s">
        <v>12</v>
      </c>
      <c r="E16">
        <v>345</v>
      </c>
      <c r="F16" t="s">
        <v>28</v>
      </c>
      <c r="G16" t="s">
        <v>42</v>
      </c>
    </row>
    <row r="17" spans="1:7" x14ac:dyDescent="0.3">
      <c r="A17" s="5">
        <v>45955</v>
      </c>
      <c r="B17" s="6">
        <v>17</v>
      </c>
      <c r="C17" s="6">
        <v>17</v>
      </c>
      <c r="D17" t="s">
        <v>18</v>
      </c>
      <c r="E17">
        <v>200</v>
      </c>
      <c r="F17" t="s">
        <v>29</v>
      </c>
      <c r="G17" t="s">
        <v>43</v>
      </c>
    </row>
    <row r="18" spans="1:7" x14ac:dyDescent="0.3">
      <c r="B18" s="6"/>
      <c r="C18" s="6"/>
    </row>
    <row r="19" spans="1:7" x14ac:dyDescent="0.3">
      <c r="B19" s="6"/>
      <c r="C19" s="6"/>
    </row>
    <row r="20" spans="1:7" x14ac:dyDescent="0.3">
      <c r="B20" s="6"/>
      <c r="C20" s="6"/>
    </row>
    <row r="21" spans="1:7" x14ac:dyDescent="0.3">
      <c r="B21" s="6"/>
      <c r="C21" s="6"/>
    </row>
    <row r="22" spans="1:7" x14ac:dyDescent="0.3">
      <c r="B22" s="6"/>
      <c r="C22" s="6"/>
    </row>
    <row r="23" spans="1:7" x14ac:dyDescent="0.3">
      <c r="B23" s="6"/>
      <c r="C23" s="6"/>
    </row>
    <row r="24" spans="1:7" x14ac:dyDescent="0.3">
      <c r="B24" s="6"/>
      <c r="C24" s="6"/>
    </row>
  </sheetData>
  <conditionalFormatting sqref="A1:G1048576">
    <cfRule type="notContainsBlanks" dxfId="0" priority="1">
      <formula>LEN(TRIM(A1))&gt;0</formula>
    </cfRule>
  </conditionalFormatting>
  <pageMargins left="0.70866141732283472" right="0.70866141732283472" top="0.74803149606299213" bottom="0.74803149606299213" header="0.31496062992125984" footer="0.31496062992125984"/>
  <pageSetup scale="9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350520</xdr:colOff>
                    <xdr:row>0</xdr:row>
                    <xdr:rowOff>22860</xdr:rowOff>
                  </from>
                  <to>
                    <xdr:col>9</xdr:col>
                    <xdr:colOff>0</xdr:colOff>
                    <xdr:row>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2_Click">
                <anchor moveWithCells="1" sizeWithCells="1">
                  <from>
                    <xdr:col>9</xdr:col>
                    <xdr:colOff>274320</xdr:colOff>
                    <xdr:row>0</xdr:row>
                    <xdr:rowOff>30480</xdr:rowOff>
                  </from>
                  <to>
                    <xdr:col>10</xdr:col>
                    <xdr:colOff>571500</xdr:colOff>
                    <xdr:row>0</xdr:row>
                    <xdr:rowOff>297180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C14EE-94A1-43D3-B7BD-A7AB76B35364}">
  <sheetPr codeName="Sheet2">
    <pageSetUpPr fitToPage="1"/>
  </sheetPr>
  <dimension ref="A1:L21"/>
  <sheetViews>
    <sheetView workbookViewId="0">
      <selection activeCell="I13" sqref="I13"/>
    </sheetView>
  </sheetViews>
  <sheetFormatPr defaultRowHeight="14.4" x14ac:dyDescent="0.3"/>
  <cols>
    <col min="9" max="9" width="19.77734375" customWidth="1"/>
  </cols>
  <sheetData>
    <row r="1" spans="1:12" x14ac:dyDescent="0.3">
      <c r="A1" s="1" t="s">
        <v>1</v>
      </c>
      <c r="C1" s="1" t="s">
        <v>6</v>
      </c>
      <c r="E1" s="4"/>
      <c r="H1" s="1" t="s">
        <v>32</v>
      </c>
      <c r="I1" s="1" t="s">
        <v>5</v>
      </c>
    </row>
    <row r="2" spans="1:12" x14ac:dyDescent="0.3">
      <c r="A2">
        <v>1</v>
      </c>
      <c r="B2">
        <f>IFERROR(IF(SEARCH($E$1,$C$2:$C$21)&gt;0,ROW(1:1)),"")</f>
        <v>1</v>
      </c>
      <c r="C2" t="s">
        <v>7</v>
      </c>
      <c r="F2" s="3">
        <f>IFERROR(SMALL($B$2:$B$21,ROW(1:1)),"")</f>
        <v>1</v>
      </c>
      <c r="G2" s="3" t="str">
        <f>IFERROR(VLOOKUP($F2,$A$2:$C$21,3,0),"")</f>
        <v>RAM</v>
      </c>
      <c r="H2" t="s">
        <v>27</v>
      </c>
      <c r="I2" t="s">
        <v>33</v>
      </c>
      <c r="J2">
        <f>SEARCH($E$1,$C$2:$C$21)</f>
        <v>1</v>
      </c>
      <c r="K2">
        <f ca="1">IFERROR(OFFSET($G$1,1,-1,COUNTIF($G$2:$G$21,"?*"),1),"")</f>
        <v>1</v>
      </c>
      <c r="L2" t="str">
        <f ca="1">IFERROR(OFFSET($G$1,1,0,COUNTIF($G$2:$G$21,"?*"),1),"")</f>
        <v>RAM</v>
      </c>
    </row>
    <row r="3" spans="1:12" x14ac:dyDescent="0.3">
      <c r="A3">
        <v>2</v>
      </c>
      <c r="B3">
        <f t="shared" ref="B3:B21" si="0">IFERROR(IF(SEARCH($E$1,$C$2:$C$21)&gt;0,ROW(2:2)),"")</f>
        <v>2</v>
      </c>
      <c r="C3" t="s">
        <v>8</v>
      </c>
      <c r="F3" s="3">
        <f t="shared" ref="F3:F21" si="1">IFERROR(SMALL($B$2:$B$21,ROW(2:2)),"")</f>
        <v>2</v>
      </c>
      <c r="G3" s="3" t="str">
        <f t="shared" ref="G3:G21" si="2">IFERROR(VLOOKUP($F3,$A$2:$C$21,3,0),"")</f>
        <v>SHYAM</v>
      </c>
      <c r="H3" t="s">
        <v>28</v>
      </c>
      <c r="I3" t="s">
        <v>34</v>
      </c>
      <c r="J3">
        <f t="shared" ref="J3:J21" si="3">SEARCH($E$1,$C$2:$C$21)</f>
        <v>1</v>
      </c>
      <c r="K3">
        <f t="shared" ref="K3:K21" ca="1" si="4">IFERROR(OFFSET($G$1,1,-1,COUNTIF($G$2:$G$21,"?*"),1),"")</f>
        <v>2</v>
      </c>
      <c r="L3" t="str">
        <f t="shared" ref="L3:L21" ca="1" si="5">IFERROR(OFFSET($G$1,1,0,COUNTIF($G$2:$G$21,"?*"),1),"")</f>
        <v>SHYAM</v>
      </c>
    </row>
    <row r="4" spans="1:12" x14ac:dyDescent="0.3">
      <c r="A4">
        <v>3</v>
      </c>
      <c r="B4">
        <f t="shared" si="0"/>
        <v>3</v>
      </c>
      <c r="C4" t="s">
        <v>9</v>
      </c>
      <c r="F4" s="3">
        <f t="shared" si="1"/>
        <v>3</v>
      </c>
      <c r="G4" s="3" t="str">
        <f t="shared" si="2"/>
        <v>MOHAN</v>
      </c>
      <c r="H4" t="s">
        <v>29</v>
      </c>
      <c r="I4" t="s">
        <v>35</v>
      </c>
      <c r="J4">
        <f t="shared" si="3"/>
        <v>1</v>
      </c>
      <c r="K4">
        <f t="shared" ca="1" si="4"/>
        <v>3</v>
      </c>
      <c r="L4" t="str">
        <f t="shared" ca="1" si="5"/>
        <v>MOHAN</v>
      </c>
    </row>
    <row r="5" spans="1:12" x14ac:dyDescent="0.3">
      <c r="A5">
        <v>4</v>
      </c>
      <c r="B5">
        <f t="shared" si="0"/>
        <v>4</v>
      </c>
      <c r="C5" t="s">
        <v>10</v>
      </c>
      <c r="F5" s="3">
        <f t="shared" si="1"/>
        <v>4</v>
      </c>
      <c r="G5" s="3" t="str">
        <f>IFERROR(VLOOKUP($F5,$A$2:$C$21,3,0),"")</f>
        <v>MANU</v>
      </c>
      <c r="H5" t="s">
        <v>30</v>
      </c>
      <c r="I5" t="s">
        <v>39</v>
      </c>
      <c r="J5">
        <f t="shared" si="3"/>
        <v>1</v>
      </c>
      <c r="K5">
        <f t="shared" ca="1" si="4"/>
        <v>4</v>
      </c>
      <c r="L5" t="str">
        <f t="shared" ca="1" si="5"/>
        <v>MANU</v>
      </c>
    </row>
    <row r="6" spans="1:12" x14ac:dyDescent="0.3">
      <c r="A6">
        <v>5</v>
      </c>
      <c r="B6">
        <f t="shared" si="0"/>
        <v>5</v>
      </c>
      <c r="C6" t="s">
        <v>11</v>
      </c>
      <c r="F6" s="3">
        <f t="shared" si="1"/>
        <v>5</v>
      </c>
      <c r="G6" s="3" t="str">
        <f t="shared" si="2"/>
        <v>RAJU</v>
      </c>
      <c r="H6" t="s">
        <v>31</v>
      </c>
      <c r="J6">
        <f t="shared" si="3"/>
        <v>1</v>
      </c>
      <c r="K6">
        <f t="shared" ca="1" si="4"/>
        <v>5</v>
      </c>
      <c r="L6" t="str">
        <f t="shared" ca="1" si="5"/>
        <v>RAJU</v>
      </c>
    </row>
    <row r="7" spans="1:12" x14ac:dyDescent="0.3">
      <c r="A7">
        <v>6</v>
      </c>
      <c r="B7">
        <f t="shared" si="0"/>
        <v>6</v>
      </c>
      <c r="C7" t="s">
        <v>12</v>
      </c>
      <c r="F7" s="3">
        <f t="shared" si="1"/>
        <v>6</v>
      </c>
      <c r="G7" s="3" t="str">
        <f t="shared" si="2"/>
        <v>SONU</v>
      </c>
      <c r="J7">
        <f t="shared" si="3"/>
        <v>1</v>
      </c>
      <c r="K7">
        <f t="shared" ca="1" si="4"/>
        <v>6</v>
      </c>
      <c r="L7" t="str">
        <f t="shared" ca="1" si="5"/>
        <v>SONU</v>
      </c>
    </row>
    <row r="8" spans="1:12" x14ac:dyDescent="0.3">
      <c r="A8">
        <v>7</v>
      </c>
      <c r="B8">
        <f t="shared" si="0"/>
        <v>7</v>
      </c>
      <c r="C8" t="s">
        <v>13</v>
      </c>
      <c r="F8" s="3">
        <f t="shared" si="1"/>
        <v>7</v>
      </c>
      <c r="G8" s="3" t="str">
        <f t="shared" si="2"/>
        <v>BOBBY</v>
      </c>
      <c r="J8">
        <f t="shared" si="3"/>
        <v>1</v>
      </c>
      <c r="K8">
        <f t="shared" ca="1" si="4"/>
        <v>7</v>
      </c>
      <c r="L8" t="str">
        <f t="shared" ca="1" si="5"/>
        <v>BOBBY</v>
      </c>
    </row>
    <row r="9" spans="1:12" x14ac:dyDescent="0.3">
      <c r="A9">
        <v>8</v>
      </c>
      <c r="B9">
        <f t="shared" si="0"/>
        <v>8</v>
      </c>
      <c r="C9" t="s">
        <v>14</v>
      </c>
      <c r="F9" s="3">
        <f t="shared" si="1"/>
        <v>8</v>
      </c>
      <c r="G9" s="3" t="str">
        <f t="shared" si="2"/>
        <v>SAGAR</v>
      </c>
      <c r="J9">
        <f t="shared" si="3"/>
        <v>1</v>
      </c>
      <c r="K9">
        <f t="shared" ca="1" si="4"/>
        <v>8</v>
      </c>
      <c r="L9" t="str">
        <f t="shared" ca="1" si="5"/>
        <v>SAGAR</v>
      </c>
    </row>
    <row r="10" spans="1:12" x14ac:dyDescent="0.3">
      <c r="A10">
        <v>9</v>
      </c>
      <c r="B10">
        <f t="shared" si="0"/>
        <v>9</v>
      </c>
      <c r="C10" t="s">
        <v>15</v>
      </c>
      <c r="F10" s="3">
        <f t="shared" si="1"/>
        <v>9</v>
      </c>
      <c r="G10" s="3" t="str">
        <f t="shared" si="2"/>
        <v>PANKAJ</v>
      </c>
      <c r="J10">
        <f t="shared" si="3"/>
        <v>1</v>
      </c>
      <c r="K10">
        <f t="shared" ca="1" si="4"/>
        <v>9</v>
      </c>
      <c r="L10" t="str">
        <f t="shared" ca="1" si="5"/>
        <v>PANKAJ</v>
      </c>
    </row>
    <row r="11" spans="1:12" x14ac:dyDescent="0.3">
      <c r="A11">
        <v>10</v>
      </c>
      <c r="B11">
        <f t="shared" si="0"/>
        <v>10</v>
      </c>
      <c r="C11" t="s">
        <v>16</v>
      </c>
      <c r="F11" s="3">
        <f t="shared" si="1"/>
        <v>10</v>
      </c>
      <c r="G11" s="3" t="str">
        <f t="shared" si="2"/>
        <v>SUMIT</v>
      </c>
      <c r="J11">
        <f t="shared" si="3"/>
        <v>1</v>
      </c>
      <c r="K11">
        <f t="shared" ca="1" si="4"/>
        <v>10</v>
      </c>
      <c r="L11" t="str">
        <f t="shared" ca="1" si="5"/>
        <v>SUMIT</v>
      </c>
    </row>
    <row r="12" spans="1:12" x14ac:dyDescent="0.3">
      <c r="A12">
        <v>11</v>
      </c>
      <c r="B12">
        <f t="shared" si="0"/>
        <v>11</v>
      </c>
      <c r="C12" t="s">
        <v>17</v>
      </c>
      <c r="F12" s="3">
        <f t="shared" si="1"/>
        <v>11</v>
      </c>
      <c r="G12" s="3" t="str">
        <f t="shared" si="2"/>
        <v>RINA</v>
      </c>
      <c r="J12">
        <f t="shared" si="3"/>
        <v>1</v>
      </c>
      <c r="K12">
        <f t="shared" ca="1" si="4"/>
        <v>11</v>
      </c>
      <c r="L12" t="str">
        <f t="shared" ca="1" si="5"/>
        <v>RINA</v>
      </c>
    </row>
    <row r="13" spans="1:12" x14ac:dyDescent="0.3">
      <c r="A13">
        <v>12</v>
      </c>
      <c r="B13">
        <f t="shared" si="0"/>
        <v>12</v>
      </c>
      <c r="C13" t="s">
        <v>18</v>
      </c>
      <c r="F13" s="3">
        <f t="shared" si="1"/>
        <v>12</v>
      </c>
      <c r="G13" s="3" t="str">
        <f t="shared" si="2"/>
        <v>SEEMA</v>
      </c>
      <c r="J13">
        <f t="shared" si="3"/>
        <v>1</v>
      </c>
      <c r="K13">
        <f t="shared" ca="1" si="4"/>
        <v>12</v>
      </c>
      <c r="L13" t="str">
        <f t="shared" ca="1" si="5"/>
        <v>SEEMA</v>
      </c>
    </row>
    <row r="14" spans="1:12" x14ac:dyDescent="0.3">
      <c r="A14">
        <v>13</v>
      </c>
      <c r="B14">
        <f t="shared" si="0"/>
        <v>13</v>
      </c>
      <c r="C14" t="s">
        <v>20</v>
      </c>
      <c r="F14" s="3">
        <f t="shared" si="1"/>
        <v>13</v>
      </c>
      <c r="G14" s="3" t="str">
        <f t="shared" si="2"/>
        <v>POOJA</v>
      </c>
      <c r="J14">
        <f t="shared" si="3"/>
        <v>1</v>
      </c>
      <c r="K14">
        <f t="shared" ca="1" si="4"/>
        <v>13</v>
      </c>
      <c r="L14" t="str">
        <f t="shared" ca="1" si="5"/>
        <v>POOJA</v>
      </c>
    </row>
    <row r="15" spans="1:12" x14ac:dyDescent="0.3">
      <c r="A15">
        <v>14</v>
      </c>
      <c r="B15">
        <f t="shared" si="0"/>
        <v>14</v>
      </c>
      <c r="C15" t="s">
        <v>19</v>
      </c>
      <c r="F15" s="3">
        <f t="shared" si="1"/>
        <v>14</v>
      </c>
      <c r="G15" s="3" t="str">
        <f t="shared" si="2"/>
        <v>DEEPA</v>
      </c>
      <c r="J15">
        <f t="shared" si="3"/>
        <v>1</v>
      </c>
      <c r="K15">
        <f t="shared" ca="1" si="4"/>
        <v>14</v>
      </c>
      <c r="L15" t="str">
        <f t="shared" ca="1" si="5"/>
        <v>DEEPA</v>
      </c>
    </row>
    <row r="16" spans="1:12" x14ac:dyDescent="0.3">
      <c r="A16">
        <v>15</v>
      </c>
      <c r="B16">
        <f t="shared" si="0"/>
        <v>15</v>
      </c>
      <c r="C16" t="s">
        <v>21</v>
      </c>
      <c r="F16" s="3">
        <f t="shared" si="1"/>
        <v>15</v>
      </c>
      <c r="G16" s="3" t="str">
        <f t="shared" si="2"/>
        <v>ANURAG</v>
      </c>
      <c r="J16">
        <f t="shared" si="3"/>
        <v>1</v>
      </c>
      <c r="K16">
        <f t="shared" ca="1" si="4"/>
        <v>15</v>
      </c>
      <c r="L16" t="str">
        <f t="shared" ca="1" si="5"/>
        <v>ANURAG</v>
      </c>
    </row>
    <row r="17" spans="1:12" x14ac:dyDescent="0.3">
      <c r="A17">
        <v>16</v>
      </c>
      <c r="B17">
        <f t="shared" si="0"/>
        <v>16</v>
      </c>
      <c r="C17" t="s">
        <v>22</v>
      </c>
      <c r="F17" s="3">
        <f t="shared" si="1"/>
        <v>16</v>
      </c>
      <c r="G17" s="3" t="str">
        <f t="shared" si="2"/>
        <v>SHRUTI</v>
      </c>
      <c r="J17">
        <f t="shared" si="3"/>
        <v>1</v>
      </c>
      <c r="K17">
        <f t="shared" ca="1" si="4"/>
        <v>16</v>
      </c>
      <c r="L17" t="str">
        <f t="shared" ca="1" si="5"/>
        <v>SHRUTI</v>
      </c>
    </row>
    <row r="18" spans="1:12" x14ac:dyDescent="0.3">
      <c r="A18">
        <v>17</v>
      </c>
      <c r="B18">
        <f t="shared" si="0"/>
        <v>17</v>
      </c>
      <c r="C18" t="s">
        <v>23</v>
      </c>
      <c r="F18" s="3">
        <f t="shared" si="1"/>
        <v>17</v>
      </c>
      <c r="G18" s="3" t="str">
        <f t="shared" si="2"/>
        <v>DEEPTI</v>
      </c>
      <c r="J18">
        <f t="shared" si="3"/>
        <v>1</v>
      </c>
      <c r="K18">
        <f t="shared" ca="1" si="4"/>
        <v>17</v>
      </c>
      <c r="L18" t="str">
        <f t="shared" ca="1" si="5"/>
        <v>DEEPTI</v>
      </c>
    </row>
    <row r="19" spans="1:12" x14ac:dyDescent="0.3">
      <c r="A19">
        <v>18</v>
      </c>
      <c r="B19">
        <f t="shared" si="0"/>
        <v>18</v>
      </c>
      <c r="C19" t="s">
        <v>24</v>
      </c>
      <c r="F19" s="3">
        <f t="shared" si="1"/>
        <v>18</v>
      </c>
      <c r="G19" s="3" t="str">
        <f t="shared" si="2"/>
        <v>MITHALI</v>
      </c>
      <c r="J19">
        <f t="shared" si="3"/>
        <v>1</v>
      </c>
      <c r="K19">
        <f t="shared" ca="1" si="4"/>
        <v>18</v>
      </c>
      <c r="L19" t="str">
        <f t="shared" ca="1" si="5"/>
        <v>MITHALI</v>
      </c>
    </row>
    <row r="20" spans="1:12" x14ac:dyDescent="0.3">
      <c r="A20">
        <v>19</v>
      </c>
      <c r="B20">
        <f t="shared" si="0"/>
        <v>19</v>
      </c>
      <c r="C20" t="s">
        <v>25</v>
      </c>
      <c r="F20" s="3">
        <f t="shared" si="1"/>
        <v>19</v>
      </c>
      <c r="G20" s="3" t="str">
        <f t="shared" si="2"/>
        <v>UJJWAL</v>
      </c>
      <c r="J20">
        <f t="shared" si="3"/>
        <v>1</v>
      </c>
      <c r="K20">
        <f t="shared" ca="1" si="4"/>
        <v>19</v>
      </c>
      <c r="L20" t="str">
        <f t="shared" ca="1" si="5"/>
        <v>UJJWAL</v>
      </c>
    </row>
    <row r="21" spans="1:12" x14ac:dyDescent="0.3">
      <c r="A21">
        <v>20</v>
      </c>
      <c r="B21">
        <f t="shared" si="0"/>
        <v>20</v>
      </c>
      <c r="C21" t="s">
        <v>26</v>
      </c>
      <c r="F21" s="3">
        <f t="shared" si="1"/>
        <v>20</v>
      </c>
      <c r="G21" s="3" t="str">
        <f t="shared" si="2"/>
        <v>RAMESH</v>
      </c>
      <c r="J21">
        <f t="shared" si="3"/>
        <v>1</v>
      </c>
      <c r="K21">
        <f t="shared" ca="1" si="4"/>
        <v>20</v>
      </c>
      <c r="L21" t="str">
        <f t="shared" ca="1" si="5"/>
        <v>RAMESH</v>
      </c>
    </row>
  </sheetData>
  <pageMargins left="0.70866141732283472" right="0.70866141732283472" top="0.74803149606299213" bottom="0.74803149606299213" header="0.31496062992125984" footer="0.31496062992125984"/>
  <pageSetup scale="8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Main</vt:lpstr>
      <vt:lpstr>Sheet2</vt:lpstr>
      <vt:lpstr>Installment</vt:lpstr>
      <vt:lpstr>PAYMETHOD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Bhupendra Kumar</dc:creator>
  <cp:lastModifiedBy>Bhupendra kumar</cp:lastModifiedBy>
  <cp:lastPrinted>2025-10-25T18:21:12Z</cp:lastPrinted>
  <dcterms:created xsi:type="dcterms:W3CDTF">2015-06-05T18:17:20Z</dcterms:created>
  <dcterms:modified xsi:type="dcterms:W3CDTF">2025-10-25T18:22:35Z</dcterms:modified>
</cp:coreProperties>
</file>