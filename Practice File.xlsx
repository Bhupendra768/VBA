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arun.sharma\Desktop\Record\"/>
    </mc:Choice>
  </mc:AlternateContent>
  <xr:revisionPtr revIDLastSave="0" documentId="13_ncr:1_{DA6ED01B-1FED-4A3B-A868-D69A9FA0F79E}" xr6:coauthVersionLast="47" xr6:coauthVersionMax="47" xr10:uidLastSave="{00000000-0000-0000-0000-000000000000}"/>
  <bookViews>
    <workbookView xWindow="-120" yWindow="-120" windowWidth="29040" windowHeight="15720" xr2:uid="{3B6E9893-2969-4A9D-A71B-13DFE8FF2A3B}"/>
  </bookViews>
  <sheets>
    <sheet name="Sheet1 (5)" sheetId="8" r:id="rId1"/>
    <sheet name="Sheet1 (4)" sheetId="6" r:id="rId2"/>
    <sheet name="Sheet2 (2)" sheetId="7" r:id="rId3"/>
    <sheet name="Practice Work" sheetId="2" r:id="rId4"/>
    <sheet name="Sheet2" sheetId="3" r:id="rId5"/>
    <sheet name="Sheet1 (2)" sheetId="4" r:id="rId6"/>
    <sheet name="Sheet1 (3)" sheetId="5" r:id="rId7"/>
    <sheet name="Sheet1" sheetId="1" r:id="rId8"/>
  </sheets>
  <definedNames>
    <definedName name="_xlnm._FilterDatabase" localSheetId="1" hidden="1">'Sheet1 (4)'!$A$6:$I$6</definedName>
    <definedName name="_xlnm._FilterDatabase" localSheetId="2" hidden="1">'Sheet2 (2)'!$G$7:$G$828</definedName>
    <definedName name="Slicer_Qty">#N/A</definedName>
    <definedName name="Tarun">'Sheet1 (3)'!$E$9</definedName>
  </definedNames>
  <calcPr calcId="191029"/>
  <pivotCaches>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8" l="1"/>
  <c r="D5" i="8"/>
  <c r="D6" i="8"/>
  <c r="D3" i="8"/>
  <c r="F7" i="7" a="1"/>
  <c r="F7" i="7" s="1"/>
  <c r="G7" i="7" a="1"/>
  <c r="G7" i="7" s="1"/>
  <c r="H7" i="7" a="1"/>
  <c r="H7" i="7" s="1"/>
  <c r="I7" i="7" a="1"/>
  <c r="I7" i="7" s="1"/>
  <c r="F7" i="6" a="1"/>
  <c r="F7" i="6" s="1"/>
  <c r="G7" i="6" a="1"/>
  <c r="G7" i="6" s="1"/>
  <c r="H7" i="6" a="1"/>
  <c r="H7" i="6" s="1"/>
  <c r="I7" i="6" a="1"/>
  <c r="I7" i="6" s="1"/>
  <c r="A20" i="5" a="1"/>
  <c r="A20" i="5" s="1"/>
  <c r="A1" i="4"/>
  <c r="G1" i="4"/>
  <c r="H1" i="4"/>
  <c r="I1" i="4"/>
  <c r="J1" i="4"/>
  <c r="K1" i="4"/>
  <c r="M1" i="4"/>
  <c r="N1" i="4"/>
  <c r="O1" i="4"/>
  <c r="P1" i="4"/>
  <c r="Q1" i="4"/>
  <c r="R1" i="4"/>
  <c r="G2" i="4"/>
  <c r="H2" i="4"/>
  <c r="I2" i="4"/>
  <c r="J2" i="4"/>
  <c r="K2" i="4"/>
  <c r="M2" i="4"/>
  <c r="N2" i="4"/>
  <c r="O2" i="4"/>
  <c r="P2" i="4"/>
  <c r="Q2" i="4"/>
  <c r="R2" i="4"/>
  <c r="G3" i="4"/>
  <c r="H3" i="4"/>
  <c r="I3" i="4"/>
  <c r="J3" i="4"/>
  <c r="K3" i="4"/>
  <c r="M3" i="4"/>
  <c r="N3" i="4"/>
  <c r="O3" i="4"/>
  <c r="P3" i="4"/>
  <c r="Q3" i="4"/>
  <c r="R3" i="4"/>
  <c r="G4" i="4"/>
  <c r="H4" i="4"/>
  <c r="I4" i="4"/>
  <c r="J4" i="4"/>
  <c r="K4" i="4"/>
  <c r="M4" i="4"/>
  <c r="N4" i="4"/>
  <c r="O4" i="4"/>
  <c r="P4" i="4"/>
  <c r="Q4" i="4"/>
  <c r="R4" i="4"/>
  <c r="G5" i="4"/>
  <c r="H5" i="4"/>
  <c r="I5" i="4"/>
  <c r="J5" i="4"/>
  <c r="K5" i="4"/>
  <c r="M5" i="4"/>
  <c r="N5" i="4"/>
  <c r="O5" i="4"/>
  <c r="P5" i="4"/>
  <c r="Q5" i="4"/>
  <c r="R5" i="4"/>
  <c r="M6" i="4"/>
  <c r="N6" i="4"/>
  <c r="O6" i="4"/>
  <c r="P6" i="4"/>
  <c r="Q6" i="4"/>
  <c r="R6" i="4"/>
  <c r="E2" i="3" a="1"/>
  <c r="E2" i="3" s="1"/>
  <c r="J2" i="3"/>
  <c r="O2" i="3"/>
  <c r="P2" i="3"/>
  <c r="Q2" i="3"/>
  <c r="E3" i="3" a="1"/>
  <c r="E3" i="3" s="1"/>
  <c r="J3" i="3"/>
  <c r="O3" i="3"/>
  <c r="P3" i="3"/>
  <c r="Q3" i="3"/>
  <c r="E4" i="3" a="1"/>
  <c r="E4" i="3" s="1"/>
  <c r="J4" i="3"/>
  <c r="O4" i="3"/>
  <c r="P4" i="3"/>
  <c r="Q4" i="3"/>
  <c r="E5" i="3" a="1"/>
  <c r="E5" i="3" s="1"/>
  <c r="J5" i="3"/>
  <c r="O5" i="3"/>
  <c r="P5" i="3"/>
  <c r="Q5" i="3"/>
  <c r="E6" i="3" a="1"/>
  <c r="E6" i="3" s="1"/>
  <c r="J6" i="3"/>
  <c r="O6" i="3"/>
  <c r="P6" i="3"/>
  <c r="Q6" i="3"/>
  <c r="E7" i="3" a="1"/>
  <c r="E7" i="3" s="1"/>
  <c r="J7" i="3"/>
  <c r="O7" i="3"/>
  <c r="P7" i="3"/>
  <c r="Q7" i="3"/>
  <c r="E8" i="3" a="1"/>
  <c r="E8" i="3" s="1"/>
  <c r="J8" i="3"/>
  <c r="O8" i="3"/>
  <c r="P8" i="3"/>
  <c r="Q8" i="3"/>
  <c r="B13" i="2" a="1"/>
  <c r="B13" i="2" s="1"/>
  <c r="C13" i="2" a="1"/>
  <c r="C13" i="2" s="1"/>
  <c r="D13" i="2" a="1"/>
  <c r="D13" i="2" s="1"/>
  <c r="I13" i="2"/>
  <c r="B14" i="2" a="1"/>
  <c r="B14" i="2"/>
  <c r="C14" i="2" a="1"/>
  <c r="C14" i="2" s="1"/>
  <c r="D14" i="2" a="1"/>
  <c r="D14" i="2" s="1"/>
  <c r="I14" i="2"/>
  <c r="B15" i="2" a="1"/>
  <c r="B15" i="2" s="1"/>
  <c r="C15" i="2" a="1"/>
  <c r="C15" i="2" s="1"/>
  <c r="D15" i="2" a="1"/>
  <c r="D15" i="2" s="1"/>
  <c r="I15" i="2"/>
  <c r="B16" i="2" a="1"/>
  <c r="B16" i="2" s="1"/>
  <c r="C16" i="2" a="1"/>
  <c r="C16" i="2"/>
  <c r="D16" i="2" a="1"/>
  <c r="D16" i="2"/>
  <c r="I16" i="2"/>
  <c r="D19" i="2"/>
  <c r="C19" i="2" s="1"/>
  <c r="G19" i="2"/>
  <c r="E19" i="2" l="1"/>
  <c r="F19" i="2" s="1"/>
  <c r="L14" i="1"/>
  <c r="P12" i="1"/>
  <c r="Q14" i="1" s="1"/>
  <c r="Q22" i="1"/>
  <c r="P22" i="1"/>
  <c r="T10" i="1"/>
  <c r="J10" i="1"/>
  <c r="T9" i="1"/>
  <c r="J9" i="1"/>
  <c r="T8" i="1"/>
  <c r="J8" i="1"/>
  <c r="T7" i="1"/>
  <c r="J7" i="1"/>
  <c r="T6" i="1"/>
  <c r="J6" i="1"/>
  <c r="J5" i="1"/>
  <c r="J4" i="1"/>
  <c r="J3" i="1"/>
  <c r="P14" i="1" l="1"/>
  <c r="P10" i="1"/>
  <c r="O12" i="1"/>
  <c r="Q15" i="1"/>
  <c r="Q16" i="1"/>
  <c r="Q12" i="1"/>
  <c r="Q13" i="1"/>
  <c r="O10" i="1" l="1"/>
  <c r="O14" i="1"/>
  <c r="R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Bhupendra Kumar</author>
  </authors>
  <commentList>
    <comment ref="A2" authorId="0" shapeId="0" xr:uid="{47D9AEA3-A0DD-465F-B5ED-87EA65793295}">
      <text>
        <r>
          <rPr>
            <b/>
            <sz val="9"/>
            <color indexed="81"/>
            <rFont val="Tahoma"/>
            <family val="2"/>
          </rPr>
          <t>Bhupendra Kumar:</t>
        </r>
        <r>
          <rPr>
            <sz val="9"/>
            <color indexed="81"/>
            <rFont val="Tahoma"/>
            <family val="2"/>
          </rPr>
          <t xml:space="preserve">
data of this coloumn should be more than one times, either 2 or more times repeated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<sst xmlns="http://schemas.openxmlformats.org/spreadsheetml/2006/main" count="2406" uniqueCount="109">
  <si>
    <t>Qty</t>
  </si>
  <si>
    <t>Price/kg</t>
  </si>
  <si>
    <t xml:space="preserve">Total Sum </t>
  </si>
  <si>
    <t>Row Labels</t>
  </si>
  <si>
    <t xml:space="preserve">Sum of Total Sum </t>
  </si>
  <si>
    <t>q1</t>
  </si>
  <si>
    <t>q3</t>
  </si>
  <si>
    <t>q2</t>
  </si>
  <si>
    <t>q4</t>
  </si>
  <si>
    <t>q6</t>
  </si>
  <si>
    <t>q8</t>
  </si>
  <si>
    <t>q5</t>
  </si>
  <si>
    <t>Grand Total</t>
  </si>
  <si>
    <t>q7</t>
  </si>
  <si>
    <t>RahulhehGh</t>
  </si>
  <si>
    <t>h</t>
  </si>
  <si>
    <t>for next month date of today same</t>
  </si>
  <si>
    <t>D</t>
  </si>
  <si>
    <t xml:space="preserve">C </t>
  </si>
  <si>
    <t>B</t>
  </si>
  <si>
    <t>A</t>
  </si>
  <si>
    <t>Name</t>
  </si>
  <si>
    <t>25-092024</t>
  </si>
  <si>
    <t>18-062025</t>
  </si>
  <si>
    <t>kumar</t>
  </si>
  <si>
    <t>sharmna</t>
  </si>
  <si>
    <t>kajal</t>
  </si>
  <si>
    <t>kajal sharmna kumar</t>
  </si>
  <si>
    <t>sharma</t>
  </si>
  <si>
    <t>ashish</t>
  </si>
  <si>
    <t>ashish kumar sharma</t>
  </si>
  <si>
    <t>chandan</t>
  </si>
  <si>
    <t>chandan sharma</t>
  </si>
  <si>
    <t>karan</t>
  </si>
  <si>
    <t>karan kumar sharma</t>
  </si>
  <si>
    <t>varun</t>
  </si>
  <si>
    <t>varun sharmna kumar</t>
  </si>
  <si>
    <t>tarun</t>
  </si>
  <si>
    <t>tarun sharma</t>
  </si>
  <si>
    <t>tarun kumar sharma</t>
  </si>
  <si>
    <t>Sum Price</t>
  </si>
  <si>
    <t>Last name</t>
  </si>
  <si>
    <t>First Name</t>
  </si>
  <si>
    <t>Price</t>
  </si>
  <si>
    <t>last name</t>
  </si>
  <si>
    <t xml:space="preserve">First name </t>
  </si>
  <si>
    <t>S.no</t>
  </si>
  <si>
    <t>UnitRateinUSDKg</t>
  </si>
  <si>
    <t>QtyInMT</t>
  </si>
  <si>
    <t>PortOfDestination</t>
  </si>
  <si>
    <t>Weight</t>
  </si>
  <si>
    <t>Date</t>
  </si>
  <si>
    <t>ShipmentMode</t>
  </si>
  <si>
    <t>CountryOfImport</t>
  </si>
  <si>
    <t>ConsigneeName</t>
  </si>
  <si>
    <t>PortOfOrigin</t>
  </si>
  <si>
    <t>ExportingCountry</t>
  </si>
  <si>
    <t>Exportername</t>
  </si>
  <si>
    <t>ProductDescription</t>
  </si>
  <si>
    <t>HSCode</t>
  </si>
  <si>
    <t>Region</t>
  </si>
  <si>
    <t>-</t>
  </si>
  <si>
    <t>Not Available</t>
  </si>
  <si>
    <t>FOB</t>
  </si>
  <si>
    <t>India</t>
  </si>
  <si>
    <t>Litasco Sa</t>
  </si>
  <si>
    <t>Russia</t>
  </si>
  <si>
    <t>Pjoint Stock Company Surgutneftegaz</t>
  </si>
  <si>
    <t>Raw Oil "Russian Export Mixture" , Density At 20Th Grade , C , Not More Than 895.0 Kg-M3 , Sulfur Co</t>
  </si>
  <si>
    <t>Grade C</t>
  </si>
  <si>
    <t>Global</t>
  </si>
  <si>
    <t>By Sea</t>
  </si>
  <si>
    <t>CFR</t>
  </si>
  <si>
    <t>United States</t>
  </si>
  <si>
    <t>Houston Refining Lp</t>
  </si>
  <si>
    <t>Cayo Arcas Terminal</t>
  </si>
  <si>
    <t>Mexico</t>
  </si>
  <si>
    <t>Pmi Comercio Internacional Sa De Cv</t>
  </si>
  <si>
    <t>Bbls Maya Crude Oil Grade 1</t>
  </si>
  <si>
    <t>Grade 1</t>
  </si>
  <si>
    <t>Germany</t>
  </si>
  <si>
    <t>Thai Union Marine Nutrients Gmbh</t>
  </si>
  <si>
    <t>Ghana</t>
  </si>
  <si>
    <t>Pioneer Food Cannery Limited</t>
  </si>
  <si>
    <t>Tuna Crude Oil Grade B Ghana</t>
  </si>
  <si>
    <t>Grade A</t>
  </si>
  <si>
    <t>Tuna Crude Oil Grade A Ghana</t>
  </si>
  <si>
    <t>Grade B</t>
  </si>
  <si>
    <t>2 Bottles Sample Tuna Crude Oil Grade A&amp;B</t>
  </si>
  <si>
    <t>Incoterms</t>
  </si>
  <si>
    <t>Grade</t>
  </si>
  <si>
    <t>Year</t>
  </si>
  <si>
    <t>CA</t>
  </si>
  <si>
    <t>NY</t>
  </si>
  <si>
    <t>TX</t>
  </si>
  <si>
    <t>Total Amount</t>
  </si>
  <si>
    <t>State</t>
  </si>
  <si>
    <t>Order ID</t>
  </si>
  <si>
    <t>Filter period starting from 1st of July, 2018, and stretching through the 31st of August, 2018.</t>
  </si>
  <si>
    <t>1.</t>
  </si>
  <si>
    <t>Filter all orders in the  periods before 1st of July, 2018, and after 31st of August, 2018.</t>
  </si>
  <si>
    <t>2.</t>
  </si>
  <si>
    <t>West</t>
  </si>
  <si>
    <t>East</t>
  </si>
  <si>
    <t>South</t>
  </si>
  <si>
    <t>North</t>
  </si>
  <si>
    <t>This Year</t>
  </si>
  <si>
    <t>Last Year</t>
  </si>
  <si>
    <t>Sales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</si>
</sst>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kg&quot;"/>
    <numFmt numFmtId="165" formatCode="&quot;₹&quot;\ #,##0.00"/>
    <numFmt numFmtId="166" formatCode="[$-14009]yyyy/mm/dd;@"/>
    <numFmt numFmtId="167" formatCode="[$-F800]dddd\,\ mmmm\ dd\,\ yyyy"/>
    <numFmt numFmtId="168" formatCode="_-[$$-409]* #,##0.00_ ;_-[$$-409]* \-#,##0.00\ ;_-[$$-409]* &quot;-&quot;??_ ;_-@_ "/>
  </numFmts>
  <fonts count="14" x14ac:knownFonts="1">
    <font>
      <sz val="11"/>
      <color theme="1"/>
      <name val="Aptos Narrow"/>
      <family val="2"/>
      <scheme val="minor"/>
    </font>
    <font>
      <sz val="13"/>
      <color theme="1"/>
      <name val="Calibri"/>
      <family val="2"/>
    </font>
    <font>
      <b/>
      <sz val="15"/>
      <color theme="1"/>
      <name val="Calibri"/>
      <family val="2"/>
    </font>
    <font>
      <sz val="13"/>
      <color theme="0"/>
      <name val="Calibri"/>
      <family val="2"/>
    </font>
    <font>
      <b/>
      <sz val="9"/>
      <color indexed="81"/>
      <name val="Tahoma"/>
      <family val="2"/>
    </font>
    <font>
      <sz val="9"/>
      <color indexed="81"/>
      <name val="Tahoma"/>
      <family val="2"/>
    </font>
    <font>
      <sz val="11"/>
      <color rgb="FFFFC000"/>
      <name val="Aptos Narrow"/>
      <family val="2"/>
      <scheme val="minor"/>
    </font>
    <font>
      <b/>
      <sz val="10"/>
      <color theme="0"/>
      <name val="Calibri"/>
      <family val="2"/>
    </font>
    <font>
      <sz val="10"/>
      <color theme="1"/>
      <name val="Aptos Narrow"/>
      <family val="2"/>
      <scheme val="minor"/>
    </font>
    <font>
      <b/>
      <sz val="11"/>
      <color theme="1"/>
      <name val="Aptos Narrow"/>
      <family val="2"/>
      <charset val="238"/>
      <scheme val="minor"/>
    </font>
    <font>
      <sz val="11"/>
      <color theme="1"/>
      <name val="Arial"/>
      <family val="2"/>
    </font>
    <font>
      <sz val="11"/>
      <name val="Arial"/>
      <family val="2"/>
    </font>
    <font>
      <b/>
      <sz val="11"/>
      <color theme="1"/>
      <name val="Arial"/>
      <family val="2"/>
    </font>
    <font>
      <b/>
      <sz val="11"/>
      <color theme="1"/>
      <name val="Calibri"/>
      <family val="2"/>
    </font>
  </fonts>
  <fills count="10">
    <fill>
      <patternFill patternType="none"/>
    </fill>
    <fill>
      <patternFill patternType="gray125"/>
    </fill>
    <fill>
      <patternFill patternType="solid">
        <fgColor theme="5" tint="0.39997558519241921"/>
        <bgColor indexed="64"/>
      </patternFill>
    </fill>
    <fill>
      <patternFill patternType="solid">
        <fgColor theme="9" tint="-0.249977111117893"/>
        <bgColor indexed="64"/>
      </patternFill>
    </fill>
    <fill>
      <patternFill patternType="solid">
        <fgColor rgb="FF002060"/>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F0"/>
        <bgColor indexed="64"/>
      </patternFill>
    </fill>
    <fill>
      <patternFill patternType="solid">
        <fgColor theme="8" tint="0.79998168889431442"/>
        <bgColor indexed="64"/>
      </patternFill>
    </fill>
    <fill>
      <patternFill patternType="solid">
        <fgColor theme="4" tint="-0.49998474074526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10" fillId="0" borderId="0"/>
  </cellStyleXfs>
  <cellXfs count="56">
    <xf numFmtId="0" fontId="0" fillId="0" borderId="0" xfId="0"/>
    <xf numFmtId="0" fontId="0" fillId="0" borderId="1" xfId="0" applyBorder="1"/>
    <xf numFmtId="164" fontId="0" fillId="0" borderId="1" xfId="0" applyNumberFormat="1" applyBorder="1"/>
    <xf numFmtId="0" fontId="0" fillId="0" borderId="0" xfId="0" applyAlignment="1">
      <alignment horizontal="left"/>
    </xf>
    <xf numFmtId="165" fontId="0" fillId="0" borderId="1" xfId="0" applyNumberFormat="1" applyBorder="1"/>
    <xf numFmtId="14" fontId="0" fillId="0" borderId="0" xfId="0" applyNumberFormat="1"/>
    <xf numFmtId="0" fontId="0" fillId="0" borderId="0" xfId="0" pivotButton="1"/>
    <xf numFmtId="0" fontId="1" fillId="0" borderId="0" xfId="0" applyFont="1"/>
    <xf numFmtId="14" fontId="1" fillId="0" borderId="0" xfId="0" applyNumberFormat="1" applyFont="1"/>
    <xf numFmtId="166" fontId="1" fillId="2" borderId="0" xfId="0" applyNumberFormat="1" applyFont="1" applyFill="1"/>
    <xf numFmtId="14" fontId="1" fillId="0" borderId="1" xfId="0" applyNumberFormat="1" applyFont="1" applyBorder="1"/>
    <xf numFmtId="0" fontId="1" fillId="0" borderId="1" xfId="0" applyFont="1" applyBorder="1"/>
    <xf numFmtId="14" fontId="2" fillId="0" borderId="1" xfId="0" applyNumberFormat="1" applyFont="1" applyBorder="1"/>
    <xf numFmtId="14" fontId="3" fillId="3" borderId="1" xfId="0" applyNumberFormat="1" applyFont="1" applyFill="1" applyBorder="1"/>
    <xf numFmtId="14" fontId="3" fillId="4" borderId="1" xfId="0" applyNumberFormat="1" applyFont="1" applyFill="1" applyBorder="1"/>
    <xf numFmtId="167" fontId="1" fillId="5" borderId="0" xfId="0" applyNumberFormat="1" applyFont="1" applyFill="1"/>
    <xf numFmtId="0" fontId="6" fillId="4" borderId="1" xfId="0" applyFont="1" applyFill="1" applyBorder="1"/>
    <xf numFmtId="0" fontId="0" fillId="2" borderId="1" xfId="0" applyFill="1" applyBorder="1"/>
    <xf numFmtId="0" fontId="0" fillId="6" borderId="1" xfId="0" applyFill="1" applyBorder="1"/>
    <xf numFmtId="0" fontId="0" fillId="7" borderId="1" xfId="0" applyFill="1" applyBorder="1"/>
    <xf numFmtId="0" fontId="0" fillId="8" borderId="1" xfId="0" applyFill="1" applyBorder="1"/>
    <xf numFmtId="166" fontId="0" fillId="0" borderId="1" xfId="0" applyNumberFormat="1" applyBorder="1"/>
    <xf numFmtId="2" fontId="7" fillId="9"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166" fontId="7" fillId="9" borderId="1" xfId="0" applyNumberFormat="1" applyFont="1" applyFill="1" applyBorder="1" applyAlignment="1">
      <alignment horizontal="left" vertical="center"/>
    </xf>
    <xf numFmtId="2" fontId="8" fillId="0" borderId="2" xfId="0" applyNumberFormat="1" applyFont="1" applyBorder="1" applyAlignment="1">
      <alignment horizontal="left" vertical="center"/>
    </xf>
    <xf numFmtId="166" fontId="8" fillId="0" borderId="1" xfId="0" applyNumberFormat="1" applyFont="1" applyBorder="1" applyAlignment="1">
      <alignment horizontal="left" vertical="center"/>
    </xf>
    <xf numFmtId="0" fontId="8" fillId="0" borderId="1" xfId="0" applyFont="1" applyBorder="1" applyAlignment="1">
      <alignment horizontal="left" vertical="center"/>
    </xf>
    <xf numFmtId="2" fontId="8" fillId="0" borderId="1" xfId="0" applyNumberFormat="1" applyFont="1" applyBorder="1" applyAlignment="1">
      <alignment horizontal="left" vertical="center"/>
    </xf>
    <xf numFmtId="0" fontId="8" fillId="0" borderId="3" xfId="0" applyFont="1" applyBorder="1" applyAlignment="1">
      <alignment horizontal="left" vertical="center"/>
    </xf>
    <xf numFmtId="2" fontId="8" fillId="0" borderId="4" xfId="0" applyNumberFormat="1" applyFont="1" applyBorder="1" applyAlignment="1">
      <alignment horizontal="left" vertical="center"/>
    </xf>
    <xf numFmtId="166" fontId="8" fillId="0" borderId="5" xfId="0" applyNumberFormat="1" applyFont="1" applyBorder="1" applyAlignment="1">
      <alignment horizontal="left" vertical="center"/>
    </xf>
    <xf numFmtId="0" fontId="8" fillId="0" borderId="5" xfId="0" applyFont="1" applyBorder="1" applyAlignment="1">
      <alignment horizontal="left" vertical="center"/>
    </xf>
    <xf numFmtId="2" fontId="8" fillId="0" borderId="5" xfId="0" applyNumberFormat="1" applyFont="1" applyBorder="1" applyAlignment="1">
      <alignment horizontal="left" vertical="center"/>
    </xf>
    <xf numFmtId="0" fontId="8" fillId="0" borderId="6" xfId="0" applyFont="1" applyBorder="1" applyAlignment="1">
      <alignment horizontal="left" vertical="center"/>
    </xf>
    <xf numFmtId="2" fontId="7" fillId="9" borderId="7" xfId="0" applyNumberFormat="1" applyFont="1" applyFill="1" applyBorder="1" applyAlignment="1">
      <alignment horizontal="left" vertical="center"/>
    </xf>
    <xf numFmtId="166" fontId="7" fillId="9" borderId="8" xfId="0" applyNumberFormat="1" applyFont="1" applyFill="1" applyBorder="1" applyAlignment="1">
      <alignment horizontal="left" vertical="center"/>
    </xf>
    <xf numFmtId="0" fontId="7" fillId="9" borderId="8" xfId="0" applyFont="1" applyFill="1" applyBorder="1" applyAlignment="1">
      <alignment horizontal="left" vertical="center"/>
    </xf>
    <xf numFmtId="2" fontId="7" fillId="9" borderId="8" xfId="0" applyNumberFormat="1" applyFont="1" applyFill="1" applyBorder="1" applyAlignment="1">
      <alignment horizontal="left" vertical="center"/>
    </xf>
    <xf numFmtId="0" fontId="7" fillId="9" borderId="9" xfId="0" applyFont="1" applyFill="1" applyBorder="1" applyAlignment="1">
      <alignment horizontal="left" vertical="center"/>
    </xf>
    <xf numFmtId="168" fontId="0" fillId="0" borderId="0" xfId="0" applyNumberFormat="1"/>
    <xf numFmtId="166" fontId="0" fillId="0" borderId="0" xfId="0" applyNumberFormat="1"/>
    <xf numFmtId="0" fontId="9" fillId="0" borderId="10" xfId="0" applyFont="1" applyBorder="1" applyAlignment="1">
      <alignment horizontal="center"/>
    </xf>
    <xf numFmtId="0" fontId="10" fillId="0" borderId="0" xfId="1"/>
    <xf numFmtId="0" fontId="10" fillId="0" borderId="11" xfId="1" applyBorder="1"/>
    <xf numFmtId="0" fontId="10" fillId="0" borderId="12" xfId="1" applyBorder="1"/>
    <xf numFmtId="0" fontId="11" fillId="0" borderId="13" xfId="1" applyFont="1" applyBorder="1"/>
    <xf numFmtId="0" fontId="10" fillId="0" borderId="14" xfId="1" applyBorder="1"/>
    <xf numFmtId="0" fontId="11" fillId="0" borderId="15" xfId="1" applyFont="1" applyBorder="1"/>
    <xf numFmtId="0" fontId="12" fillId="0" borderId="14" xfId="1" applyFont="1" applyBorder="1"/>
    <xf numFmtId="0" fontId="12" fillId="0" borderId="0" xfId="1" applyFont="1"/>
    <xf numFmtId="0" fontId="12" fillId="0" borderId="15" xfId="1" applyFont="1" applyBorder="1"/>
    <xf numFmtId="0" fontId="11" fillId="0" borderId="16" xfId="1" applyFont="1" applyBorder="1"/>
    <xf numFmtId="0" fontId="11" fillId="0" borderId="17" xfId="1" applyFont="1" applyBorder="1"/>
    <xf numFmtId="0" fontId="13" fillId="0" borderId="18" xfId="1" applyFont="1" applyBorder="1" applyAlignment="1">
      <alignment horizontal="center"/>
    </xf>
    <xf numFmtId="10" fontId="10" fillId="0" borderId="0" xfId="1" applyNumberFormat="1"/>
  </cellXfs>
  <cellStyles count="2">
    <cellStyle name="Normal" xfId="0" builtinId="0"/>
    <cellStyle name="Normal 2" xfId="1" xr:uid="{C6CB5A41-1048-4100-830B-018D6C9C55B2}"/>
  </cellStyles>
  <dxfs count="28">
    <dxf>
      <font>
        <b/>
        <i/>
        <color rgb="FF00B0F0"/>
      </font>
    </dxf>
    <dxf>
      <font>
        <b/>
        <i/>
        <color rgb="FF00B0F0"/>
      </font>
    </dxf>
    <dxf>
      <font>
        <b/>
        <i val="0"/>
        <color rgb="FF00B050"/>
      </font>
    </dxf>
    <dxf>
      <font>
        <b/>
        <i val="0"/>
        <color rgb="FF00B050"/>
      </font>
    </dxf>
    <dxf>
      <font>
        <b/>
        <i val="0"/>
        <color rgb="FF00B050"/>
      </font>
    </dxf>
    <dxf>
      <font>
        <b/>
        <i val="0"/>
        <color rgb="FF00B050"/>
      </font>
    </dxf>
    <dxf>
      <font>
        <b/>
        <i val="0"/>
        <color rgb="FF00B050"/>
      </font>
    </dxf>
    <dxf>
      <font>
        <b/>
        <i val="0"/>
        <color rgb="FF00B050"/>
      </font>
    </dxf>
    <dxf>
      <font>
        <b val="0"/>
        <i val="0"/>
        <strike val="0"/>
        <condense val="0"/>
        <extend val="0"/>
        <outline val="0"/>
        <shadow val="0"/>
        <u val="none"/>
        <vertAlign val="baseline"/>
        <sz val="10"/>
        <color theme="1"/>
        <name val="Aptos Narrow"/>
        <family val="2"/>
        <scheme val="minor"/>
      </font>
      <numFmt numFmtId="2" formatCode="0.00"/>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66" formatCode="[$-14009]yyyy/mm/dd;@"/>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2"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2" formatCode="0.00"/>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File.xlsx]Sheet1!PivotTable1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Sheet1!$M$2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F6-4A56-9C36-CC4D26BB19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F6-4A56-9C36-CC4D26BB19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F6-4A56-9C36-CC4D26BB19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F6-4A56-9C36-CC4D26BB19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33-4A7B-9AAC-B34C9B5F91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6A8-499E-853E-E7E515658F1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6A8-499E-853E-E7E515658F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6A8-499E-853E-E7E515658F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Sheet1!$L$3:$L$11</c:f>
              <c:strCache>
                <c:ptCount val="8"/>
                <c:pt idx="0">
                  <c:v>q1</c:v>
                </c:pt>
                <c:pt idx="1">
                  <c:v>q2</c:v>
                </c:pt>
                <c:pt idx="2">
                  <c:v>q3</c:v>
                </c:pt>
                <c:pt idx="3">
                  <c:v>q4</c:v>
                </c:pt>
                <c:pt idx="4">
                  <c:v>q5</c:v>
                </c:pt>
                <c:pt idx="5">
                  <c:v>q6</c:v>
                </c:pt>
                <c:pt idx="6">
                  <c:v>q7</c:v>
                </c:pt>
                <c:pt idx="7">
                  <c:v>q8</c:v>
                </c:pt>
              </c:strCache>
            </c:strRef>
          </c:cat>
          <c:val>
            <c:numRef>
              <c:f>Sheet1!$M$3:$M$11</c:f>
              <c:numCache>
                <c:formatCode>General</c:formatCode>
                <c:ptCount val="8"/>
                <c:pt idx="0">
                  <c:v>890000</c:v>
                </c:pt>
                <c:pt idx="1">
                  <c:v>56000</c:v>
                </c:pt>
                <c:pt idx="2">
                  <c:v>280000</c:v>
                </c:pt>
                <c:pt idx="3">
                  <c:v>12000</c:v>
                </c:pt>
                <c:pt idx="4">
                  <c:v>4534.8999999999996</c:v>
                </c:pt>
                <c:pt idx="5">
                  <c:v>56000</c:v>
                </c:pt>
                <c:pt idx="6">
                  <c:v>280000</c:v>
                </c:pt>
                <c:pt idx="7">
                  <c:v>12000</c:v>
                </c:pt>
              </c:numCache>
            </c:numRef>
          </c:val>
          <c:extLst>
            <c:ext xmlns:c16="http://schemas.microsoft.com/office/drawing/2014/chart" uri="{C3380CC4-5D6E-409C-BE32-E72D297353CC}">
              <c16:uniqueId val="{00000008-62F6-4A56-9C36-CC4D26BB19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28575</xdr:colOff>
      <xdr:row>16</xdr:row>
      <xdr:rowOff>33337</xdr:rowOff>
    </xdr:from>
    <xdr:to>
      <xdr:col>8</xdr:col>
      <xdr:colOff>133350</xdr:colOff>
      <xdr:row>30</xdr:row>
      <xdr:rowOff>109537</xdr:rowOff>
    </xdr:to>
    <xdr:graphicFrame macro="">
      <xdr:nvGraphicFramePr>
        <xdr:cNvPr id="2" name="Chart 1">
          <a:extLst>
            <a:ext uri="{FF2B5EF4-FFF2-40B4-BE49-F238E27FC236}">
              <a16:creationId xmlns:a16="http://schemas.microsoft.com/office/drawing/2014/main" id="{8647E472-A7CB-4278-A53F-B431117AF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342900</xdr:colOff>
      <xdr:row>1</xdr:row>
      <xdr:rowOff>19051</xdr:rowOff>
    </xdr:from>
    <xdr:to>
      <xdr:col>16</xdr:col>
      <xdr:colOff>209550</xdr:colOff>
      <xdr:row>5</xdr:row>
      <xdr:rowOff>152401</xdr:rowOff>
    </xdr:to>
    <mc:AlternateContent xmlns:mc="http://schemas.openxmlformats.org/markup-compatibility/2006" xmlns:a14="http://schemas.microsoft.com/office/drawing/2010/main">
      <mc:Choice Requires="a14">
        <xdr:graphicFrame macro="">
          <xdr:nvGraphicFramePr>
            <xdr:cNvPr id="3" name="Qty">
              <a:extLst>
                <a:ext uri="{FF2B5EF4-FFF2-40B4-BE49-F238E27FC236}">
                  <a16:creationId xmlns:a16="http://schemas.microsoft.com/office/drawing/2014/main" id="{3EACC90F-759D-48B7-A981-EAFC3AE71514}"/>
                </a:ext>
              </a:extLst>
            </xdr:cNvPr>
            <xdr:cNvGraphicFramePr/>
          </xdr:nvGraphicFramePr>
          <xdr:xfrm>
            <a:off x="0" y="0"/>
            <a:ext cx="0" cy="0"/>
          </xdr:xfrm>
          <a:graphic>
            <a:graphicData uri="http://schemas.microsoft.com/office/drawing/2010/slicer">
              <sle:slicer xmlns:sle="http://schemas.microsoft.com/office/drawing/2010/slicer" name="Qty"/>
            </a:graphicData>
          </a:graphic>
        </xdr:graphicFrame>
      </mc:Choice>
      <mc:Fallback xmlns="">
        <xdr:sp macro="" textlink="">
          <xdr:nvSpPr>
            <xdr:cNvPr id="0" name=""/>
            <xdr:cNvSpPr>
              <a:spLocks noTextEdit="1"/>
            </xdr:cNvSpPr>
          </xdr:nvSpPr>
          <xdr:spPr>
            <a:xfrm>
              <a:off x="9296400" y="209551"/>
              <a:ext cx="23241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tarun.sharma/Desktop/Raw%20Data/Soda%20Ash%20Raw%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Sharma" refreshedDate="46108.406079282409" createdVersion="8" refreshedVersion="8" minRefreshableVersion="3" recordCount="8" xr:uid="{11E9DEC7-2E39-4411-AAB2-B9B56D9C446B}">
  <cacheSource type="worksheet">
    <worksheetSource ref="I2:K10" sheet="Sheet1" r:id="rId2"/>
  </cacheSource>
  <cacheFields count="3">
    <cacheField name="Qty" numFmtId="0">
      <sharedItems count="8">
        <s v="q1"/>
        <s v="q2"/>
        <s v="q3"/>
        <s v="q4"/>
        <s v="q5"/>
        <s v="q6"/>
        <s v="q7"/>
        <s v="q8"/>
      </sharedItems>
    </cacheField>
    <cacheField name="Price/kg" numFmtId="0">
      <sharedItems containsSemiMixedTypes="0" containsString="0" containsNumber="1" containsInteger="1" minValue="280" maxValue="898"/>
    </cacheField>
    <cacheField name="Total Sum " numFmtId="0">
      <sharedItems containsSemiMixedTypes="0" containsString="0" containsNumber="1" minValue="4534.8999999999996" maxValue="890000"/>
    </cacheField>
  </cacheFields>
  <extLst>
    <ext xmlns:x14="http://schemas.microsoft.com/office/spreadsheetml/2009/9/main" uri="{725AE2AE-9491-48be-B2B4-4EB974FC3084}">
      <x14:pivotCacheDefinition pivotCacheId="275698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890"/>
    <n v="890000"/>
  </r>
  <r>
    <x v="1"/>
    <n v="280"/>
    <n v="56000"/>
  </r>
  <r>
    <x v="2"/>
    <n v="560"/>
    <n v="280000"/>
  </r>
  <r>
    <x v="3"/>
    <n v="600"/>
    <n v="12000"/>
  </r>
  <r>
    <x v="4"/>
    <n v="898"/>
    <n v="4534.8999999999996"/>
  </r>
  <r>
    <x v="5"/>
    <n v="280"/>
    <n v="56000"/>
  </r>
  <r>
    <x v="6"/>
    <n v="560"/>
    <n v="280000"/>
  </r>
  <r>
    <x v="7"/>
    <n v="600"/>
    <n v="1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9D9839-BD4E-46AC-98BC-82C08854D9A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2:M11" firstHeaderRow="1" firstDataRow="1" firstDataCol="1"/>
  <pivotFields count="3">
    <pivotField axis="axisRow" showAll="0">
      <items count="9">
        <item x="0"/>
        <item x="1"/>
        <item x="2"/>
        <item x="3"/>
        <item x="4"/>
        <item x="5"/>
        <item x="6"/>
        <item x="7"/>
        <item t="default"/>
      </items>
    </pivotField>
    <pivotField showAll="0"/>
    <pivotField dataField="1" showAll="0"/>
  </pivotFields>
  <rowFields count="1">
    <field x="0"/>
  </rowFields>
  <rowItems count="9">
    <i>
      <x/>
    </i>
    <i>
      <x v="1"/>
    </i>
    <i>
      <x v="2"/>
    </i>
    <i>
      <x v="3"/>
    </i>
    <i>
      <x v="4"/>
    </i>
    <i>
      <x v="5"/>
    </i>
    <i>
      <x v="6"/>
    </i>
    <i>
      <x v="7"/>
    </i>
    <i t="grand">
      <x/>
    </i>
  </rowItems>
  <colItems count="1">
    <i/>
  </colItems>
  <dataFields count="1">
    <dataField name="Sum of Total Sum " fld="2" baseField="0" baseItem="0"/>
  </dataField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5"/>
          </reference>
        </references>
      </pivotArea>
    </chartFormat>
    <chartFormat chart="2" format="5">
      <pivotArea type="data" outline="0" fieldPosition="0">
        <references count="2">
          <reference field="4294967294" count="1" selected="0">
            <x v="0"/>
          </reference>
          <reference field="0" count="1" selected="0">
            <x v="7"/>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6"/>
          </reference>
        </references>
      </pivotArea>
    </chartFormat>
    <chartFormat chart="2" format="9">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y" xr10:uid="{4E4297F5-5D94-462B-A2B1-38C749508543}" sourceName="Qty">
  <pivotTables>
    <pivotTable tabId="1" name="PivotTable1"/>
  </pivotTables>
  <data>
    <tabular pivotCacheId="275698298">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y" xr10:uid="{394CA312-CEC8-4A15-82F1-83602AEEE1E0}" cache="Slicer_Qty" caption="Qty" startItem="7"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2F5EB5-5414-44B8-A321-6C871FCE2431}" name="Table1" displayName="Table1" ref="A1:Q17" totalsRowShown="0" headerRowBorderDxfId="26" tableBorderDxfId="27" totalsRowBorderDxfId="25">
  <autoFilter ref="A1:Q17" xr:uid="{8E1DE1BE-D8B4-4F75-98CC-1B04250ED523}"/>
  <tableColumns count="17">
    <tableColumn id="1" xr3:uid="{5CE6B7DF-9F1B-476E-B163-1D613CB2D339}" name="Region" dataDxfId="24"/>
    <tableColumn id="2" xr3:uid="{6DF309FD-0859-42B1-B965-D383C79BE2B5}" name="Year" dataDxfId="23"/>
    <tableColumn id="3" xr3:uid="{F3A09A8A-CD7E-43E7-96FC-E0CB4D192E44}" name="HSCode" dataDxfId="22"/>
    <tableColumn id="4" xr3:uid="{517837F0-7C8C-4F7E-A879-798766A9E2E9}" name="Grade" dataDxfId="21"/>
    <tableColumn id="5" xr3:uid="{D17F3035-2320-465B-BA94-499E4A702641}" name="ProductDescription" dataDxfId="20"/>
    <tableColumn id="6" xr3:uid="{0E9094C0-1068-42C0-9B75-4A6847BC2322}" name="Exportername" dataDxfId="19"/>
    <tableColumn id="7" xr3:uid="{06862867-B7D5-4ECE-9DCA-E52C92B5FC6B}" name="ExportingCountry" dataDxfId="18"/>
    <tableColumn id="8" xr3:uid="{F9D9A3FE-473F-4D17-86A1-794A46FA62F8}" name="PortOfOrigin" dataDxfId="17"/>
    <tableColumn id="9" xr3:uid="{4F295F12-A0BA-4BAA-9A79-201F1BAAC4A3}" name="ConsigneeName" dataDxfId="16"/>
    <tableColumn id="10" xr3:uid="{8C596AB5-5783-423D-A47C-B4993452858A}" name="CountryOfImport" dataDxfId="15"/>
    <tableColumn id="11" xr3:uid="{60509A74-F5B4-4385-B1C7-2AE8036B216A}" name="PortOfDestination" dataDxfId="14"/>
    <tableColumn id="12" xr3:uid="{2837D3C8-1ECD-4517-91E7-FBEC8914655B}" name="QtyInMT" dataDxfId="13"/>
    <tableColumn id="13" xr3:uid="{D71145D5-0B45-4C88-BD57-12E673B757A5}" name="UnitRateinUSDKg" dataDxfId="12"/>
    <tableColumn id="14" xr3:uid="{AFC77129-29DE-4AE1-8C6A-9820C68729B2}" name="Incoterms" dataDxfId="11"/>
    <tableColumn id="15" xr3:uid="{B6533778-3886-4943-B10F-992D0E5E5485}" name="ShipmentMode" dataDxfId="10"/>
    <tableColumn id="16" xr3:uid="{4D9765D6-102A-4CDA-9A5F-F6617D318B14}" name="Date" dataDxfId="9"/>
    <tableColumn id="17" xr3:uid="{4F44AFC5-B2D4-4CA8-ACB5-AC825FB8E413}" name="Weight"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8455-64DE-4733-9B13-6DD28A774F30}">
  <dimension ref="A1:D1000"/>
  <sheetViews>
    <sheetView tabSelected="1" workbookViewId="0">
      <selection activeCell="H4" sqref="H4"/>
    </sheetView>
  </sheetViews>
  <sheetFormatPr defaultColWidth="14.42578125" defaultRowHeight="15" customHeight="1" x14ac:dyDescent="0.2"/>
  <cols>
    <col min="1" max="1" width="8.7109375" style="43" customWidth="1"/>
    <col min="2" max="2" width="10.7109375" style="43" customWidth="1"/>
    <col min="3" max="3" width="11.5703125" style="43" customWidth="1"/>
    <col min="4" max="26" width="8.7109375" style="43" customWidth="1"/>
    <col min="27" max="16384" width="14.42578125" style="43"/>
  </cols>
  <sheetData>
    <row r="1" spans="1:4" x14ac:dyDescent="0.25">
      <c r="A1" s="54" t="s">
        <v>108</v>
      </c>
      <c r="B1" s="53"/>
      <c r="C1" s="52"/>
    </row>
    <row r="2" spans="1:4" x14ac:dyDescent="0.25">
      <c r="A2" s="51" t="s">
        <v>60</v>
      </c>
      <c r="B2" s="50" t="s">
        <v>107</v>
      </c>
      <c r="C2" s="49" t="s">
        <v>106</v>
      </c>
    </row>
    <row r="3" spans="1:4" ht="14.25" x14ac:dyDescent="0.2">
      <c r="A3" s="48" t="s">
        <v>105</v>
      </c>
      <c r="B3" s="43">
        <v>230</v>
      </c>
      <c r="C3" s="47">
        <v>255</v>
      </c>
      <c r="D3" s="55">
        <f>($C3-$B3)/$B3</f>
        <v>0.10869565217391304</v>
      </c>
    </row>
    <row r="4" spans="1:4" ht="14.25" x14ac:dyDescent="0.2">
      <c r="A4" s="48" t="s">
        <v>104</v>
      </c>
      <c r="B4" s="43">
        <v>245</v>
      </c>
      <c r="C4" s="47">
        <v>240</v>
      </c>
      <c r="D4" s="55">
        <f t="shared" ref="D4:D6" si="0">($C4-$B4)/$B4</f>
        <v>-2.0408163265306121E-2</v>
      </c>
    </row>
    <row r="5" spans="1:4" ht="14.25" x14ac:dyDescent="0.2">
      <c r="A5" s="48" t="s">
        <v>103</v>
      </c>
      <c r="B5" s="43">
        <v>250</v>
      </c>
      <c r="C5" s="47">
        <v>255</v>
      </c>
      <c r="D5" s="55">
        <f t="shared" si="0"/>
        <v>0.02</v>
      </c>
    </row>
    <row r="6" spans="1:4" ht="14.25" x14ac:dyDescent="0.2">
      <c r="A6" s="46" t="s">
        <v>102</v>
      </c>
      <c r="B6" s="45">
        <v>210</v>
      </c>
      <c r="C6" s="44">
        <v>240</v>
      </c>
      <c r="D6" s="55">
        <f t="shared" si="0"/>
        <v>0.14285714285714285</v>
      </c>
    </row>
    <row r="21" s="43" customFormat="1" ht="15.75" customHeight="1" x14ac:dyDescent="0.2"/>
    <row r="22" s="43" customFormat="1" ht="15.75" customHeight="1" x14ac:dyDescent="0.2"/>
    <row r="23" s="43" customFormat="1" ht="15.75" customHeight="1" x14ac:dyDescent="0.2"/>
    <row r="24" s="43" customFormat="1" ht="15.75" customHeight="1" x14ac:dyDescent="0.2"/>
    <row r="25" s="43" customFormat="1" ht="15.75" customHeight="1" x14ac:dyDescent="0.2"/>
    <row r="26" s="43" customFormat="1" ht="15.75" customHeight="1" x14ac:dyDescent="0.2"/>
    <row r="27" s="43" customFormat="1" ht="15.75" customHeight="1" x14ac:dyDescent="0.2"/>
    <row r="28" s="43" customFormat="1" ht="15.75" customHeight="1" x14ac:dyDescent="0.2"/>
    <row r="29" s="43" customFormat="1" ht="15.75" customHeight="1" x14ac:dyDescent="0.2"/>
    <row r="30" s="43" customFormat="1" ht="15.75" customHeight="1" x14ac:dyDescent="0.2"/>
    <row r="31" s="43" customFormat="1" ht="15.75" customHeight="1" x14ac:dyDescent="0.2"/>
    <row r="32" s="43" customFormat="1" ht="15.75" customHeight="1" x14ac:dyDescent="0.2"/>
    <row r="33" s="43" customFormat="1" ht="15.75" customHeight="1" x14ac:dyDescent="0.2"/>
    <row r="34" s="43" customFormat="1" ht="15.75" customHeight="1" x14ac:dyDescent="0.2"/>
    <row r="35" s="43" customFormat="1" ht="15.75" customHeight="1" x14ac:dyDescent="0.2"/>
    <row r="36" s="43" customFormat="1" ht="15.75" customHeight="1" x14ac:dyDescent="0.2"/>
    <row r="37" s="43" customFormat="1" ht="15.75" customHeight="1" x14ac:dyDescent="0.2"/>
    <row r="38" s="43" customFormat="1" ht="15.75" customHeight="1" x14ac:dyDescent="0.2"/>
    <row r="39" s="43" customFormat="1" ht="15.75" customHeight="1" x14ac:dyDescent="0.2"/>
    <row r="40" s="43" customFormat="1" ht="15.75" customHeight="1" x14ac:dyDescent="0.2"/>
    <row r="41" s="43" customFormat="1" ht="15.75" customHeight="1" x14ac:dyDescent="0.2"/>
    <row r="42" s="43" customFormat="1" ht="15.75" customHeight="1" x14ac:dyDescent="0.2"/>
    <row r="43" s="43" customFormat="1" ht="15.75" customHeight="1" x14ac:dyDescent="0.2"/>
    <row r="44" s="43" customFormat="1" ht="15.75" customHeight="1" x14ac:dyDescent="0.2"/>
    <row r="45" s="43" customFormat="1" ht="15.75" customHeight="1" x14ac:dyDescent="0.2"/>
    <row r="46" s="43" customFormat="1" ht="15.75" customHeight="1" x14ac:dyDescent="0.2"/>
    <row r="47" s="43" customFormat="1" ht="15.75" customHeight="1" x14ac:dyDescent="0.2"/>
    <row r="48" s="43" customFormat="1" ht="15.75" customHeight="1" x14ac:dyDescent="0.2"/>
    <row r="49" s="43" customFormat="1" ht="15.75" customHeight="1" x14ac:dyDescent="0.2"/>
    <row r="50" s="43" customFormat="1" ht="15.75" customHeight="1" x14ac:dyDescent="0.2"/>
    <row r="51" s="43" customFormat="1" ht="15.75" customHeight="1" x14ac:dyDescent="0.2"/>
    <row r="52" s="43" customFormat="1" ht="15.75" customHeight="1" x14ac:dyDescent="0.2"/>
    <row r="53" s="43" customFormat="1" ht="15.75" customHeight="1" x14ac:dyDescent="0.2"/>
    <row r="54" s="43" customFormat="1" ht="15.75" customHeight="1" x14ac:dyDescent="0.2"/>
    <row r="55" s="43" customFormat="1" ht="15.75" customHeight="1" x14ac:dyDescent="0.2"/>
    <row r="56" s="43" customFormat="1" ht="15.75" customHeight="1" x14ac:dyDescent="0.2"/>
    <row r="57" s="43" customFormat="1" ht="15.75" customHeight="1" x14ac:dyDescent="0.2"/>
    <row r="58" s="43" customFormat="1" ht="15.75" customHeight="1" x14ac:dyDescent="0.2"/>
    <row r="59" s="43" customFormat="1" ht="15.75" customHeight="1" x14ac:dyDescent="0.2"/>
    <row r="60" s="43" customFormat="1" ht="15.75" customHeight="1" x14ac:dyDescent="0.2"/>
    <row r="61" s="43" customFormat="1" ht="15.75" customHeight="1" x14ac:dyDescent="0.2"/>
    <row r="62" s="43" customFormat="1" ht="15.75" customHeight="1" x14ac:dyDescent="0.2"/>
    <row r="63" s="43" customFormat="1" ht="15.75" customHeight="1" x14ac:dyDescent="0.2"/>
    <row r="64" s="43" customFormat="1" ht="15.75" customHeight="1" x14ac:dyDescent="0.2"/>
    <row r="65" s="43" customFormat="1" ht="15.75" customHeight="1" x14ac:dyDescent="0.2"/>
    <row r="66" s="43" customFormat="1" ht="15.75" customHeight="1" x14ac:dyDescent="0.2"/>
    <row r="67" s="43" customFormat="1" ht="15.75" customHeight="1" x14ac:dyDescent="0.2"/>
    <row r="68" s="43" customFormat="1" ht="15.75" customHeight="1" x14ac:dyDescent="0.2"/>
    <row r="69" s="43" customFormat="1" ht="15.75" customHeight="1" x14ac:dyDescent="0.2"/>
    <row r="70" s="43" customFormat="1" ht="15.75" customHeight="1" x14ac:dyDescent="0.2"/>
    <row r="71" s="43" customFormat="1" ht="15.75" customHeight="1" x14ac:dyDescent="0.2"/>
    <row r="72" s="43" customFormat="1" ht="15.75" customHeight="1" x14ac:dyDescent="0.2"/>
    <row r="73" s="43" customFormat="1" ht="15.75" customHeight="1" x14ac:dyDescent="0.2"/>
    <row r="74" s="43" customFormat="1" ht="15.75" customHeight="1" x14ac:dyDescent="0.2"/>
    <row r="75" s="43" customFormat="1" ht="15.75" customHeight="1" x14ac:dyDescent="0.2"/>
    <row r="76" s="43" customFormat="1" ht="15.75" customHeight="1" x14ac:dyDescent="0.2"/>
    <row r="77" s="43" customFormat="1" ht="15.75" customHeight="1" x14ac:dyDescent="0.2"/>
    <row r="78" s="43" customFormat="1" ht="15.75" customHeight="1" x14ac:dyDescent="0.2"/>
    <row r="79" s="43" customFormat="1" ht="15.75" customHeight="1" x14ac:dyDescent="0.2"/>
    <row r="80" s="43" customFormat="1" ht="15.75" customHeight="1" x14ac:dyDescent="0.2"/>
    <row r="81" s="43" customFormat="1" ht="15.75" customHeight="1" x14ac:dyDescent="0.2"/>
    <row r="82" s="43" customFormat="1" ht="15.75" customHeight="1" x14ac:dyDescent="0.2"/>
    <row r="83" s="43" customFormat="1" ht="15.75" customHeight="1" x14ac:dyDescent="0.2"/>
    <row r="84" s="43" customFormat="1" ht="15.75" customHeight="1" x14ac:dyDescent="0.2"/>
    <row r="85" s="43" customFormat="1" ht="15.75" customHeight="1" x14ac:dyDescent="0.2"/>
    <row r="86" s="43" customFormat="1" ht="15.75" customHeight="1" x14ac:dyDescent="0.2"/>
    <row r="87" s="43" customFormat="1" ht="15.75" customHeight="1" x14ac:dyDescent="0.2"/>
    <row r="88" s="43" customFormat="1" ht="15.75" customHeight="1" x14ac:dyDescent="0.2"/>
    <row r="89" s="43" customFormat="1" ht="15.75" customHeight="1" x14ac:dyDescent="0.2"/>
    <row r="90" s="43" customFormat="1" ht="15.75" customHeight="1" x14ac:dyDescent="0.2"/>
    <row r="91" s="43" customFormat="1" ht="15.75" customHeight="1" x14ac:dyDescent="0.2"/>
    <row r="92" s="43" customFormat="1" ht="15.75" customHeight="1" x14ac:dyDescent="0.2"/>
    <row r="93" s="43" customFormat="1" ht="15.75" customHeight="1" x14ac:dyDescent="0.2"/>
    <row r="94" s="43" customFormat="1" ht="15.75" customHeight="1" x14ac:dyDescent="0.2"/>
    <row r="95" s="43" customFormat="1" ht="15.75" customHeight="1" x14ac:dyDescent="0.2"/>
    <row r="96" s="43" customFormat="1" ht="15.75" customHeight="1" x14ac:dyDescent="0.2"/>
    <row r="97" s="43" customFormat="1" ht="15.75" customHeight="1" x14ac:dyDescent="0.2"/>
    <row r="98" s="43" customFormat="1" ht="15.75" customHeight="1" x14ac:dyDescent="0.2"/>
    <row r="99" s="43" customFormat="1" ht="15.75" customHeight="1" x14ac:dyDescent="0.2"/>
    <row r="100" s="43" customFormat="1" ht="15.75" customHeight="1" x14ac:dyDescent="0.2"/>
    <row r="101" s="43" customFormat="1" ht="15.75" customHeight="1" x14ac:dyDescent="0.2"/>
    <row r="102" s="43" customFormat="1" ht="15.75" customHeight="1" x14ac:dyDescent="0.2"/>
    <row r="103" s="43" customFormat="1" ht="15.75" customHeight="1" x14ac:dyDescent="0.2"/>
    <row r="104" s="43" customFormat="1" ht="15.75" customHeight="1" x14ac:dyDescent="0.2"/>
    <row r="105" s="43" customFormat="1" ht="15.75" customHeight="1" x14ac:dyDescent="0.2"/>
    <row r="106" s="43" customFormat="1" ht="15.75" customHeight="1" x14ac:dyDescent="0.2"/>
    <row r="107" s="43" customFormat="1" ht="15.75" customHeight="1" x14ac:dyDescent="0.2"/>
    <row r="108" s="43" customFormat="1" ht="15.75" customHeight="1" x14ac:dyDescent="0.2"/>
    <row r="109" s="43" customFormat="1" ht="15.75" customHeight="1" x14ac:dyDescent="0.2"/>
    <row r="110" s="43" customFormat="1" ht="15.75" customHeight="1" x14ac:dyDescent="0.2"/>
    <row r="111" s="43" customFormat="1" ht="15.75" customHeight="1" x14ac:dyDescent="0.2"/>
    <row r="112" s="43" customFormat="1" ht="15.75" customHeight="1" x14ac:dyDescent="0.2"/>
    <row r="113" s="43" customFormat="1" ht="15.75" customHeight="1" x14ac:dyDescent="0.2"/>
    <row r="114" s="43" customFormat="1" ht="15.75" customHeight="1" x14ac:dyDescent="0.2"/>
    <row r="115" s="43" customFormat="1" ht="15.75" customHeight="1" x14ac:dyDescent="0.2"/>
    <row r="116" s="43" customFormat="1" ht="15.75" customHeight="1" x14ac:dyDescent="0.2"/>
    <row r="117" s="43" customFormat="1" ht="15.75" customHeight="1" x14ac:dyDescent="0.2"/>
    <row r="118" s="43" customFormat="1" ht="15.75" customHeight="1" x14ac:dyDescent="0.2"/>
    <row r="119" s="43" customFormat="1" ht="15.75" customHeight="1" x14ac:dyDescent="0.2"/>
    <row r="120" s="43" customFormat="1" ht="15.75" customHeight="1" x14ac:dyDescent="0.2"/>
    <row r="121" s="43" customFormat="1" ht="15.75" customHeight="1" x14ac:dyDescent="0.2"/>
    <row r="122" s="43" customFormat="1" ht="15.75" customHeight="1" x14ac:dyDescent="0.2"/>
    <row r="123" s="43" customFormat="1" ht="15.75" customHeight="1" x14ac:dyDescent="0.2"/>
    <row r="124" s="43" customFormat="1" ht="15.75" customHeight="1" x14ac:dyDescent="0.2"/>
    <row r="125" s="43" customFormat="1" ht="15.75" customHeight="1" x14ac:dyDescent="0.2"/>
    <row r="126" s="43" customFormat="1" ht="15.75" customHeight="1" x14ac:dyDescent="0.2"/>
    <row r="127" s="43" customFormat="1" ht="15.75" customHeight="1" x14ac:dyDescent="0.2"/>
    <row r="128" s="43" customFormat="1" ht="15.75" customHeight="1" x14ac:dyDescent="0.2"/>
    <row r="129" s="43" customFormat="1" ht="15.75" customHeight="1" x14ac:dyDescent="0.2"/>
    <row r="130" s="43" customFormat="1" ht="15.75" customHeight="1" x14ac:dyDescent="0.2"/>
    <row r="131" s="43" customFormat="1" ht="15.75" customHeight="1" x14ac:dyDescent="0.2"/>
    <row r="132" s="43" customFormat="1" ht="15.75" customHeight="1" x14ac:dyDescent="0.2"/>
    <row r="133" s="43" customFormat="1" ht="15.75" customHeight="1" x14ac:dyDescent="0.2"/>
    <row r="134" s="43" customFormat="1" ht="15.75" customHeight="1" x14ac:dyDescent="0.2"/>
    <row r="135" s="43" customFormat="1" ht="15.75" customHeight="1" x14ac:dyDescent="0.2"/>
    <row r="136" s="43" customFormat="1" ht="15.75" customHeight="1" x14ac:dyDescent="0.2"/>
    <row r="137" s="43" customFormat="1" ht="15.75" customHeight="1" x14ac:dyDescent="0.2"/>
    <row r="138" s="43" customFormat="1" ht="15.75" customHeight="1" x14ac:dyDescent="0.2"/>
    <row r="139" s="43" customFormat="1" ht="15.75" customHeight="1" x14ac:dyDescent="0.2"/>
    <row r="140" s="43" customFormat="1" ht="15.75" customHeight="1" x14ac:dyDescent="0.2"/>
    <row r="141" s="43" customFormat="1" ht="15.75" customHeight="1" x14ac:dyDescent="0.2"/>
    <row r="142" s="43" customFormat="1" ht="15.75" customHeight="1" x14ac:dyDescent="0.2"/>
    <row r="143" s="43" customFormat="1" ht="15.75" customHeight="1" x14ac:dyDescent="0.2"/>
    <row r="144" s="43" customFormat="1" ht="15.75" customHeight="1" x14ac:dyDescent="0.2"/>
    <row r="145" s="43" customFormat="1" ht="15.75" customHeight="1" x14ac:dyDescent="0.2"/>
    <row r="146" s="43" customFormat="1" ht="15.75" customHeight="1" x14ac:dyDescent="0.2"/>
    <row r="147" s="43" customFormat="1" ht="15.75" customHeight="1" x14ac:dyDescent="0.2"/>
    <row r="148" s="43" customFormat="1" ht="15.75" customHeight="1" x14ac:dyDescent="0.2"/>
    <row r="149" s="43" customFormat="1" ht="15.75" customHeight="1" x14ac:dyDescent="0.2"/>
    <row r="150" s="43" customFormat="1" ht="15.75" customHeight="1" x14ac:dyDescent="0.2"/>
    <row r="151" s="43" customFormat="1" ht="15.75" customHeight="1" x14ac:dyDescent="0.2"/>
    <row r="152" s="43" customFormat="1" ht="15.75" customHeight="1" x14ac:dyDescent="0.2"/>
    <row r="153" s="43" customFormat="1" ht="15.75" customHeight="1" x14ac:dyDescent="0.2"/>
    <row r="154" s="43" customFormat="1" ht="15.75" customHeight="1" x14ac:dyDescent="0.2"/>
    <row r="155" s="43" customFormat="1" ht="15.75" customHeight="1" x14ac:dyDescent="0.2"/>
    <row r="156" s="43" customFormat="1" ht="15.75" customHeight="1" x14ac:dyDescent="0.2"/>
    <row r="157" s="43" customFormat="1" ht="15.75" customHeight="1" x14ac:dyDescent="0.2"/>
    <row r="158" s="43" customFormat="1" ht="15.75" customHeight="1" x14ac:dyDescent="0.2"/>
    <row r="159" s="43" customFormat="1" ht="15.75" customHeight="1" x14ac:dyDescent="0.2"/>
    <row r="160" s="43" customFormat="1" ht="15.75" customHeight="1" x14ac:dyDescent="0.2"/>
    <row r="161" s="43" customFormat="1" ht="15.75" customHeight="1" x14ac:dyDescent="0.2"/>
    <row r="162" s="43" customFormat="1" ht="15.75" customHeight="1" x14ac:dyDescent="0.2"/>
    <row r="163" s="43" customFormat="1" ht="15.75" customHeight="1" x14ac:dyDescent="0.2"/>
    <row r="164" s="43" customFormat="1" ht="15.75" customHeight="1" x14ac:dyDescent="0.2"/>
    <row r="165" s="43" customFormat="1" ht="15.75" customHeight="1" x14ac:dyDescent="0.2"/>
    <row r="166" s="43" customFormat="1" ht="15.75" customHeight="1" x14ac:dyDescent="0.2"/>
    <row r="167" s="43" customFormat="1" ht="15.75" customHeight="1" x14ac:dyDescent="0.2"/>
    <row r="168" s="43" customFormat="1" ht="15.75" customHeight="1" x14ac:dyDescent="0.2"/>
    <row r="169" s="43" customFormat="1" ht="15.75" customHeight="1" x14ac:dyDescent="0.2"/>
    <row r="170" s="43" customFormat="1" ht="15.75" customHeight="1" x14ac:dyDescent="0.2"/>
    <row r="171" s="43" customFormat="1" ht="15.75" customHeight="1" x14ac:dyDescent="0.2"/>
    <row r="172" s="43" customFormat="1" ht="15.75" customHeight="1" x14ac:dyDescent="0.2"/>
    <row r="173" s="43" customFormat="1" ht="15.75" customHeight="1" x14ac:dyDescent="0.2"/>
    <row r="174" s="43" customFormat="1" ht="15.75" customHeight="1" x14ac:dyDescent="0.2"/>
    <row r="175" s="43" customFormat="1" ht="15.75" customHeight="1" x14ac:dyDescent="0.2"/>
    <row r="176" s="43" customFormat="1" ht="15.75" customHeight="1" x14ac:dyDescent="0.2"/>
    <row r="177" s="43" customFormat="1" ht="15.75" customHeight="1" x14ac:dyDescent="0.2"/>
    <row r="178" s="43" customFormat="1" ht="15.75" customHeight="1" x14ac:dyDescent="0.2"/>
    <row r="179" s="43" customFormat="1" ht="15.75" customHeight="1" x14ac:dyDescent="0.2"/>
    <row r="180" s="43" customFormat="1" ht="15.75" customHeight="1" x14ac:dyDescent="0.2"/>
    <row r="181" s="43" customFormat="1" ht="15.75" customHeight="1" x14ac:dyDescent="0.2"/>
    <row r="182" s="43" customFormat="1" ht="15.75" customHeight="1" x14ac:dyDescent="0.2"/>
    <row r="183" s="43" customFormat="1" ht="15.75" customHeight="1" x14ac:dyDescent="0.2"/>
    <row r="184" s="43" customFormat="1" ht="15.75" customHeight="1" x14ac:dyDescent="0.2"/>
    <row r="185" s="43" customFormat="1" ht="15.75" customHeight="1" x14ac:dyDescent="0.2"/>
    <row r="186" s="43" customFormat="1" ht="15.75" customHeight="1" x14ac:dyDescent="0.2"/>
    <row r="187" s="43" customFormat="1" ht="15.75" customHeight="1" x14ac:dyDescent="0.2"/>
    <row r="188" s="43" customFormat="1" ht="15.75" customHeight="1" x14ac:dyDescent="0.2"/>
    <row r="189" s="43" customFormat="1" ht="15.75" customHeight="1" x14ac:dyDescent="0.2"/>
    <row r="190" s="43" customFormat="1" ht="15.75" customHeight="1" x14ac:dyDescent="0.2"/>
    <row r="191" s="43" customFormat="1" ht="15.75" customHeight="1" x14ac:dyDescent="0.2"/>
    <row r="192" s="43" customFormat="1" ht="15.75" customHeight="1" x14ac:dyDescent="0.2"/>
    <row r="193" s="43" customFormat="1" ht="15.75" customHeight="1" x14ac:dyDescent="0.2"/>
    <row r="194" s="43" customFormat="1" ht="15.75" customHeight="1" x14ac:dyDescent="0.2"/>
    <row r="195" s="43" customFormat="1" ht="15.75" customHeight="1" x14ac:dyDescent="0.2"/>
    <row r="196" s="43" customFormat="1" ht="15.75" customHeight="1" x14ac:dyDescent="0.2"/>
    <row r="197" s="43" customFormat="1" ht="15.75" customHeight="1" x14ac:dyDescent="0.2"/>
    <row r="198" s="43" customFormat="1" ht="15.75" customHeight="1" x14ac:dyDescent="0.2"/>
    <row r="199" s="43" customFormat="1" ht="15.75" customHeight="1" x14ac:dyDescent="0.2"/>
    <row r="200" s="43" customFormat="1" ht="15.75" customHeight="1" x14ac:dyDescent="0.2"/>
    <row r="201" s="43" customFormat="1" ht="15.75" customHeight="1" x14ac:dyDescent="0.2"/>
    <row r="202" s="43" customFormat="1" ht="15.75" customHeight="1" x14ac:dyDescent="0.2"/>
    <row r="203" s="43" customFormat="1" ht="15.75" customHeight="1" x14ac:dyDescent="0.2"/>
    <row r="204" s="43" customFormat="1" ht="15.75" customHeight="1" x14ac:dyDescent="0.2"/>
    <row r="205" s="43" customFormat="1" ht="15.75" customHeight="1" x14ac:dyDescent="0.2"/>
    <row r="206" s="43" customFormat="1" ht="15.75" customHeight="1" x14ac:dyDescent="0.2"/>
    <row r="207" s="43" customFormat="1" ht="15.75" customHeight="1" x14ac:dyDescent="0.2"/>
    <row r="208" s="43" customFormat="1" ht="15.75" customHeight="1" x14ac:dyDescent="0.2"/>
    <row r="209" s="43" customFormat="1" ht="15.75" customHeight="1" x14ac:dyDescent="0.2"/>
    <row r="210" s="43" customFormat="1" ht="15.75" customHeight="1" x14ac:dyDescent="0.2"/>
    <row r="211" s="43" customFormat="1" ht="15.75" customHeight="1" x14ac:dyDescent="0.2"/>
    <row r="212" s="43" customFormat="1" ht="15.75" customHeight="1" x14ac:dyDescent="0.2"/>
    <row r="213" s="43" customFormat="1" ht="15.75" customHeight="1" x14ac:dyDescent="0.2"/>
    <row r="214" s="43" customFormat="1" ht="15.75" customHeight="1" x14ac:dyDescent="0.2"/>
    <row r="215" s="43" customFormat="1" ht="15.75" customHeight="1" x14ac:dyDescent="0.2"/>
    <row r="216" s="43" customFormat="1" ht="15.75" customHeight="1" x14ac:dyDescent="0.2"/>
    <row r="217" s="43" customFormat="1" ht="15.75" customHeight="1" x14ac:dyDescent="0.2"/>
    <row r="218" s="43" customFormat="1" ht="15.75" customHeight="1" x14ac:dyDescent="0.2"/>
    <row r="219" s="43" customFormat="1" ht="15.75" customHeight="1" x14ac:dyDescent="0.2"/>
    <row r="220" s="43" customFormat="1" ht="15.75" customHeight="1" x14ac:dyDescent="0.2"/>
    <row r="221" s="43" customFormat="1" ht="15.75" customHeight="1" x14ac:dyDescent="0.2"/>
    <row r="222" s="43" customFormat="1" ht="15.75" customHeight="1" x14ac:dyDescent="0.2"/>
    <row r="223" s="43" customFormat="1" ht="15.75" customHeight="1" x14ac:dyDescent="0.2"/>
    <row r="224" s="43" customFormat="1" ht="15.75" customHeight="1" x14ac:dyDescent="0.2"/>
    <row r="225" s="43" customFormat="1" ht="15.75" customHeight="1" x14ac:dyDescent="0.2"/>
    <row r="226" s="43" customFormat="1" ht="15.75" customHeight="1" x14ac:dyDescent="0.2"/>
    <row r="227" s="43" customFormat="1" ht="15.75" customHeight="1" x14ac:dyDescent="0.2"/>
    <row r="228" s="43" customFormat="1" ht="15.75" customHeight="1" x14ac:dyDescent="0.2"/>
    <row r="229" s="43" customFormat="1" ht="15.75" customHeight="1" x14ac:dyDescent="0.2"/>
    <row r="230" s="43" customFormat="1" ht="15.75" customHeight="1" x14ac:dyDescent="0.2"/>
    <row r="231" s="43" customFormat="1" ht="15.75" customHeight="1" x14ac:dyDescent="0.2"/>
    <row r="232" s="43" customFormat="1" ht="15.75" customHeight="1" x14ac:dyDescent="0.2"/>
    <row r="233" s="43" customFormat="1" ht="15.75" customHeight="1" x14ac:dyDescent="0.2"/>
    <row r="234" s="43" customFormat="1" ht="15.75" customHeight="1" x14ac:dyDescent="0.2"/>
    <row r="235" s="43" customFormat="1" ht="15.75" customHeight="1" x14ac:dyDescent="0.2"/>
    <row r="236" s="43" customFormat="1" ht="15.75" customHeight="1" x14ac:dyDescent="0.2"/>
    <row r="237" s="43" customFormat="1" ht="15.75" customHeight="1" x14ac:dyDescent="0.2"/>
    <row r="238" s="43" customFormat="1" ht="15.75" customHeight="1" x14ac:dyDescent="0.2"/>
    <row r="239" s="43" customFormat="1" ht="15.75" customHeight="1" x14ac:dyDescent="0.2"/>
    <row r="240" s="43" customFormat="1" ht="15.75" customHeight="1" x14ac:dyDescent="0.2"/>
    <row r="241" s="43" customFormat="1" ht="15.75" customHeight="1" x14ac:dyDescent="0.2"/>
    <row r="242" s="43" customFormat="1" ht="15.75" customHeight="1" x14ac:dyDescent="0.2"/>
    <row r="243" s="43" customFormat="1" ht="15.75" customHeight="1" x14ac:dyDescent="0.2"/>
    <row r="244" s="43" customFormat="1" ht="15.75" customHeight="1" x14ac:dyDescent="0.2"/>
    <row r="245" s="43" customFormat="1" ht="15.75" customHeight="1" x14ac:dyDescent="0.2"/>
    <row r="246" s="43" customFormat="1" ht="15.75" customHeight="1" x14ac:dyDescent="0.2"/>
    <row r="247" s="43" customFormat="1" ht="15.75" customHeight="1" x14ac:dyDescent="0.2"/>
    <row r="248" s="43" customFormat="1" ht="15.75" customHeight="1" x14ac:dyDescent="0.2"/>
    <row r="249" s="43" customFormat="1" ht="15.75" customHeight="1" x14ac:dyDescent="0.2"/>
    <row r="250" s="43" customFormat="1" ht="15.75" customHeight="1" x14ac:dyDescent="0.2"/>
    <row r="251" s="43" customFormat="1" ht="15.75" customHeight="1" x14ac:dyDescent="0.2"/>
    <row r="252" s="43" customFormat="1" ht="15.75" customHeight="1" x14ac:dyDescent="0.2"/>
    <row r="253" s="43" customFormat="1" ht="15.75" customHeight="1" x14ac:dyDescent="0.2"/>
    <row r="254" s="43" customFormat="1" ht="15.75" customHeight="1" x14ac:dyDescent="0.2"/>
    <row r="255" s="43" customFormat="1" ht="15.75" customHeight="1" x14ac:dyDescent="0.2"/>
    <row r="256" s="43" customFormat="1" ht="15.75" customHeight="1" x14ac:dyDescent="0.2"/>
    <row r="257" s="43" customFormat="1" ht="15.75" customHeight="1" x14ac:dyDescent="0.2"/>
    <row r="258" s="43" customFormat="1" ht="15.75" customHeight="1" x14ac:dyDescent="0.2"/>
    <row r="259" s="43" customFormat="1" ht="15.75" customHeight="1" x14ac:dyDescent="0.2"/>
    <row r="260" s="43" customFormat="1" ht="15.75" customHeight="1" x14ac:dyDescent="0.2"/>
    <row r="261" s="43" customFormat="1" ht="15.75" customHeight="1" x14ac:dyDescent="0.2"/>
    <row r="262" s="43" customFormat="1" ht="15.75" customHeight="1" x14ac:dyDescent="0.2"/>
    <row r="263" s="43" customFormat="1" ht="15.75" customHeight="1" x14ac:dyDescent="0.2"/>
    <row r="264" s="43" customFormat="1" ht="15.75" customHeight="1" x14ac:dyDescent="0.2"/>
    <row r="265" s="43" customFormat="1" ht="15.75" customHeight="1" x14ac:dyDescent="0.2"/>
    <row r="266" s="43" customFormat="1" ht="15.75" customHeight="1" x14ac:dyDescent="0.2"/>
    <row r="267" s="43" customFormat="1" ht="15.75" customHeight="1" x14ac:dyDescent="0.2"/>
    <row r="268" s="43" customFormat="1" ht="15.75" customHeight="1" x14ac:dyDescent="0.2"/>
    <row r="269" s="43" customFormat="1" ht="15.75" customHeight="1" x14ac:dyDescent="0.2"/>
    <row r="270" s="43" customFormat="1" ht="15.75" customHeight="1" x14ac:dyDescent="0.2"/>
    <row r="271" s="43" customFormat="1" ht="15.75" customHeight="1" x14ac:dyDescent="0.2"/>
    <row r="272" s="43" customFormat="1" ht="15.75" customHeight="1" x14ac:dyDescent="0.2"/>
    <row r="273" s="43" customFormat="1" ht="15.75" customHeight="1" x14ac:dyDescent="0.2"/>
    <row r="274" s="43" customFormat="1" ht="15.75" customHeight="1" x14ac:dyDescent="0.2"/>
    <row r="275" s="43" customFormat="1" ht="15.75" customHeight="1" x14ac:dyDescent="0.2"/>
    <row r="276" s="43" customFormat="1" ht="15.75" customHeight="1" x14ac:dyDescent="0.2"/>
    <row r="277" s="43" customFormat="1" ht="15.75" customHeight="1" x14ac:dyDescent="0.2"/>
    <row r="278" s="43" customFormat="1" ht="15.75" customHeight="1" x14ac:dyDescent="0.2"/>
    <row r="279" s="43" customFormat="1" ht="15.75" customHeight="1" x14ac:dyDescent="0.2"/>
    <row r="280" s="43" customFormat="1" ht="15.75" customHeight="1" x14ac:dyDescent="0.2"/>
    <row r="281" s="43" customFormat="1" ht="15.75" customHeight="1" x14ac:dyDescent="0.2"/>
    <row r="282" s="43" customFormat="1" ht="15.75" customHeight="1" x14ac:dyDescent="0.2"/>
    <row r="283" s="43" customFormat="1" ht="15.75" customHeight="1" x14ac:dyDescent="0.2"/>
    <row r="284" s="43" customFormat="1" ht="15.75" customHeight="1" x14ac:dyDescent="0.2"/>
    <row r="285" s="43" customFormat="1" ht="15.75" customHeight="1" x14ac:dyDescent="0.2"/>
    <row r="286" s="43" customFormat="1" ht="15.75" customHeight="1" x14ac:dyDescent="0.2"/>
    <row r="287" s="43" customFormat="1" ht="15.75" customHeight="1" x14ac:dyDescent="0.2"/>
    <row r="288" s="43" customFormat="1" ht="15.75" customHeight="1" x14ac:dyDescent="0.2"/>
    <row r="289" s="43" customFormat="1" ht="15.75" customHeight="1" x14ac:dyDescent="0.2"/>
    <row r="290" s="43" customFormat="1" ht="15.75" customHeight="1" x14ac:dyDescent="0.2"/>
    <row r="291" s="43" customFormat="1" ht="15.75" customHeight="1" x14ac:dyDescent="0.2"/>
    <row r="292" s="43" customFormat="1" ht="15.75" customHeight="1" x14ac:dyDescent="0.2"/>
    <row r="293" s="43" customFormat="1" ht="15.75" customHeight="1" x14ac:dyDescent="0.2"/>
    <row r="294" s="43" customFormat="1" ht="15.75" customHeight="1" x14ac:dyDescent="0.2"/>
    <row r="295" s="43" customFormat="1" ht="15.75" customHeight="1" x14ac:dyDescent="0.2"/>
    <row r="296" s="43" customFormat="1" ht="15.75" customHeight="1" x14ac:dyDescent="0.2"/>
    <row r="297" s="43" customFormat="1" ht="15.75" customHeight="1" x14ac:dyDescent="0.2"/>
    <row r="298" s="43" customFormat="1" ht="15.75" customHeight="1" x14ac:dyDescent="0.2"/>
    <row r="299" s="43" customFormat="1" ht="15.75" customHeight="1" x14ac:dyDescent="0.2"/>
    <row r="300" s="43" customFormat="1" ht="15.75" customHeight="1" x14ac:dyDescent="0.2"/>
    <row r="301" s="43" customFormat="1" ht="15.75" customHeight="1" x14ac:dyDescent="0.2"/>
    <row r="302" s="43" customFormat="1" ht="15.75" customHeight="1" x14ac:dyDescent="0.2"/>
    <row r="303" s="43" customFormat="1" ht="15.75" customHeight="1" x14ac:dyDescent="0.2"/>
    <row r="304" s="43" customFormat="1" ht="15.75" customHeight="1" x14ac:dyDescent="0.2"/>
    <row r="305" s="43" customFormat="1" ht="15.75" customHeight="1" x14ac:dyDescent="0.2"/>
    <row r="306" s="43" customFormat="1" ht="15.75" customHeight="1" x14ac:dyDescent="0.2"/>
    <row r="307" s="43" customFormat="1" ht="15.75" customHeight="1" x14ac:dyDescent="0.2"/>
    <row r="308" s="43" customFormat="1" ht="15.75" customHeight="1" x14ac:dyDescent="0.2"/>
    <row r="309" s="43" customFormat="1" ht="15.75" customHeight="1" x14ac:dyDescent="0.2"/>
    <row r="310" s="43" customFormat="1" ht="15.75" customHeight="1" x14ac:dyDescent="0.2"/>
    <row r="311" s="43" customFormat="1" ht="15.75" customHeight="1" x14ac:dyDescent="0.2"/>
    <row r="312" s="43" customFormat="1" ht="15.75" customHeight="1" x14ac:dyDescent="0.2"/>
    <row r="313" s="43" customFormat="1" ht="15.75" customHeight="1" x14ac:dyDescent="0.2"/>
    <row r="314" s="43" customFormat="1" ht="15.75" customHeight="1" x14ac:dyDescent="0.2"/>
    <row r="315" s="43" customFormat="1" ht="15.75" customHeight="1" x14ac:dyDescent="0.2"/>
    <row r="316" s="43" customFormat="1" ht="15.75" customHeight="1" x14ac:dyDescent="0.2"/>
    <row r="317" s="43" customFormat="1" ht="15.75" customHeight="1" x14ac:dyDescent="0.2"/>
    <row r="318" s="43" customFormat="1" ht="15.75" customHeight="1" x14ac:dyDescent="0.2"/>
    <row r="319" s="43" customFormat="1" ht="15.75" customHeight="1" x14ac:dyDescent="0.2"/>
    <row r="320" s="43" customFormat="1" ht="15.75" customHeight="1" x14ac:dyDescent="0.2"/>
    <row r="321" s="43" customFormat="1" ht="15.75" customHeight="1" x14ac:dyDescent="0.2"/>
    <row r="322" s="43" customFormat="1" ht="15.75" customHeight="1" x14ac:dyDescent="0.2"/>
    <row r="323" s="43" customFormat="1" ht="15.75" customHeight="1" x14ac:dyDescent="0.2"/>
    <row r="324" s="43" customFormat="1" ht="15.75" customHeight="1" x14ac:dyDescent="0.2"/>
    <row r="325" s="43" customFormat="1" ht="15.75" customHeight="1" x14ac:dyDescent="0.2"/>
    <row r="326" s="43" customFormat="1" ht="15.75" customHeight="1" x14ac:dyDescent="0.2"/>
    <row r="327" s="43" customFormat="1" ht="15.75" customHeight="1" x14ac:dyDescent="0.2"/>
    <row r="328" s="43" customFormat="1" ht="15.75" customHeight="1" x14ac:dyDescent="0.2"/>
    <row r="329" s="43" customFormat="1" ht="15.75" customHeight="1" x14ac:dyDescent="0.2"/>
    <row r="330" s="43" customFormat="1" ht="15.75" customHeight="1" x14ac:dyDescent="0.2"/>
    <row r="331" s="43" customFormat="1" ht="15.75" customHeight="1" x14ac:dyDescent="0.2"/>
    <row r="332" s="43" customFormat="1" ht="15.75" customHeight="1" x14ac:dyDescent="0.2"/>
    <row r="333" s="43" customFormat="1" ht="15.75" customHeight="1" x14ac:dyDescent="0.2"/>
    <row r="334" s="43" customFormat="1" ht="15.75" customHeight="1" x14ac:dyDescent="0.2"/>
    <row r="335" s="43" customFormat="1" ht="15.75" customHeight="1" x14ac:dyDescent="0.2"/>
    <row r="336" s="43" customFormat="1" ht="15.75" customHeight="1" x14ac:dyDescent="0.2"/>
    <row r="337" s="43" customFormat="1" ht="15.75" customHeight="1" x14ac:dyDescent="0.2"/>
    <row r="338" s="43" customFormat="1" ht="15.75" customHeight="1" x14ac:dyDescent="0.2"/>
    <row r="339" s="43" customFormat="1" ht="15.75" customHeight="1" x14ac:dyDescent="0.2"/>
    <row r="340" s="43" customFormat="1" ht="15.75" customHeight="1" x14ac:dyDescent="0.2"/>
    <row r="341" s="43" customFormat="1" ht="15.75" customHeight="1" x14ac:dyDescent="0.2"/>
    <row r="342" s="43" customFormat="1" ht="15.75" customHeight="1" x14ac:dyDescent="0.2"/>
    <row r="343" s="43" customFormat="1" ht="15.75" customHeight="1" x14ac:dyDescent="0.2"/>
    <row r="344" s="43" customFormat="1" ht="15.75" customHeight="1" x14ac:dyDescent="0.2"/>
    <row r="345" s="43" customFormat="1" ht="15.75" customHeight="1" x14ac:dyDescent="0.2"/>
    <row r="346" s="43" customFormat="1" ht="15.75" customHeight="1" x14ac:dyDescent="0.2"/>
    <row r="347" s="43" customFormat="1" ht="15.75" customHeight="1" x14ac:dyDescent="0.2"/>
    <row r="348" s="43" customFormat="1" ht="15.75" customHeight="1" x14ac:dyDescent="0.2"/>
    <row r="349" s="43" customFormat="1" ht="15.75" customHeight="1" x14ac:dyDescent="0.2"/>
    <row r="350" s="43" customFormat="1" ht="15.75" customHeight="1" x14ac:dyDescent="0.2"/>
    <row r="351" s="43" customFormat="1" ht="15.75" customHeight="1" x14ac:dyDescent="0.2"/>
    <row r="352" s="43" customFormat="1" ht="15.75" customHeight="1" x14ac:dyDescent="0.2"/>
    <row r="353" s="43" customFormat="1" ht="15.75" customHeight="1" x14ac:dyDescent="0.2"/>
    <row r="354" s="43" customFormat="1" ht="15.75" customHeight="1" x14ac:dyDescent="0.2"/>
    <row r="355" s="43" customFormat="1" ht="15.75" customHeight="1" x14ac:dyDescent="0.2"/>
    <row r="356" s="43" customFormat="1" ht="15.75" customHeight="1" x14ac:dyDescent="0.2"/>
    <row r="357" s="43" customFormat="1" ht="15.75" customHeight="1" x14ac:dyDescent="0.2"/>
    <row r="358" s="43" customFormat="1" ht="15.75" customHeight="1" x14ac:dyDescent="0.2"/>
    <row r="359" s="43" customFormat="1" ht="15.75" customHeight="1" x14ac:dyDescent="0.2"/>
    <row r="360" s="43" customFormat="1" ht="15.75" customHeight="1" x14ac:dyDescent="0.2"/>
    <row r="361" s="43" customFormat="1" ht="15.75" customHeight="1" x14ac:dyDescent="0.2"/>
    <row r="362" s="43" customFormat="1" ht="15.75" customHeight="1" x14ac:dyDescent="0.2"/>
    <row r="363" s="43" customFormat="1" ht="15.75" customHeight="1" x14ac:dyDescent="0.2"/>
    <row r="364" s="43" customFormat="1" ht="15.75" customHeight="1" x14ac:dyDescent="0.2"/>
    <row r="365" s="43" customFormat="1" ht="15.75" customHeight="1" x14ac:dyDescent="0.2"/>
    <row r="366" s="43" customFormat="1" ht="15.75" customHeight="1" x14ac:dyDescent="0.2"/>
    <row r="367" s="43" customFormat="1" ht="15.75" customHeight="1" x14ac:dyDescent="0.2"/>
    <row r="368" s="43" customFormat="1" ht="15.75" customHeight="1" x14ac:dyDescent="0.2"/>
    <row r="369" s="43" customFormat="1" ht="15.75" customHeight="1" x14ac:dyDescent="0.2"/>
    <row r="370" s="43" customFormat="1" ht="15.75" customHeight="1" x14ac:dyDescent="0.2"/>
    <row r="371" s="43" customFormat="1" ht="15.75" customHeight="1" x14ac:dyDescent="0.2"/>
    <row r="372" s="43" customFormat="1" ht="15.75" customHeight="1" x14ac:dyDescent="0.2"/>
    <row r="373" s="43" customFormat="1" ht="15.75" customHeight="1" x14ac:dyDescent="0.2"/>
    <row r="374" s="43" customFormat="1" ht="15.75" customHeight="1" x14ac:dyDescent="0.2"/>
    <row r="375" s="43" customFormat="1" ht="15.75" customHeight="1" x14ac:dyDescent="0.2"/>
    <row r="376" s="43" customFormat="1" ht="15.75" customHeight="1" x14ac:dyDescent="0.2"/>
    <row r="377" s="43" customFormat="1" ht="15.75" customHeight="1" x14ac:dyDescent="0.2"/>
    <row r="378" s="43" customFormat="1" ht="15.75" customHeight="1" x14ac:dyDescent="0.2"/>
    <row r="379" s="43" customFormat="1" ht="15.75" customHeight="1" x14ac:dyDescent="0.2"/>
    <row r="380" s="43" customFormat="1" ht="15.75" customHeight="1" x14ac:dyDescent="0.2"/>
    <row r="381" s="43" customFormat="1" ht="15.75" customHeight="1" x14ac:dyDescent="0.2"/>
    <row r="382" s="43" customFormat="1" ht="15.75" customHeight="1" x14ac:dyDescent="0.2"/>
    <row r="383" s="43" customFormat="1" ht="15.75" customHeight="1" x14ac:dyDescent="0.2"/>
    <row r="384" s="43" customFormat="1" ht="15.75" customHeight="1" x14ac:dyDescent="0.2"/>
    <row r="385" s="43" customFormat="1" ht="15.75" customHeight="1" x14ac:dyDescent="0.2"/>
    <row r="386" s="43" customFormat="1" ht="15.75" customHeight="1" x14ac:dyDescent="0.2"/>
    <row r="387" s="43" customFormat="1" ht="15.75" customHeight="1" x14ac:dyDescent="0.2"/>
    <row r="388" s="43" customFormat="1" ht="15.75" customHeight="1" x14ac:dyDescent="0.2"/>
    <row r="389" s="43" customFormat="1" ht="15.75" customHeight="1" x14ac:dyDescent="0.2"/>
    <row r="390" s="43" customFormat="1" ht="15.75" customHeight="1" x14ac:dyDescent="0.2"/>
    <row r="391" s="43" customFormat="1" ht="15.75" customHeight="1" x14ac:dyDescent="0.2"/>
    <row r="392" s="43" customFormat="1" ht="15.75" customHeight="1" x14ac:dyDescent="0.2"/>
    <row r="393" s="43" customFormat="1" ht="15.75" customHeight="1" x14ac:dyDescent="0.2"/>
    <row r="394" s="43" customFormat="1" ht="15.75" customHeight="1" x14ac:dyDescent="0.2"/>
    <row r="395" s="43" customFormat="1" ht="15.75" customHeight="1" x14ac:dyDescent="0.2"/>
    <row r="396" s="43" customFormat="1" ht="15.75" customHeight="1" x14ac:dyDescent="0.2"/>
    <row r="397" s="43" customFormat="1" ht="15.75" customHeight="1" x14ac:dyDescent="0.2"/>
    <row r="398" s="43" customFormat="1" ht="15.75" customHeight="1" x14ac:dyDescent="0.2"/>
    <row r="399" s="43" customFormat="1" ht="15.75" customHeight="1" x14ac:dyDescent="0.2"/>
    <row r="400" s="43" customFormat="1" ht="15.75" customHeight="1" x14ac:dyDescent="0.2"/>
    <row r="401" s="43" customFormat="1" ht="15.75" customHeight="1" x14ac:dyDescent="0.2"/>
    <row r="402" s="43" customFormat="1" ht="15.75" customHeight="1" x14ac:dyDescent="0.2"/>
    <row r="403" s="43" customFormat="1" ht="15.75" customHeight="1" x14ac:dyDescent="0.2"/>
    <row r="404" s="43" customFormat="1" ht="15.75" customHeight="1" x14ac:dyDescent="0.2"/>
    <row r="405" s="43" customFormat="1" ht="15.75" customHeight="1" x14ac:dyDescent="0.2"/>
    <row r="406" s="43" customFormat="1" ht="15.75" customHeight="1" x14ac:dyDescent="0.2"/>
    <row r="407" s="43" customFormat="1" ht="15.75" customHeight="1" x14ac:dyDescent="0.2"/>
    <row r="408" s="43" customFormat="1" ht="15.75" customHeight="1" x14ac:dyDescent="0.2"/>
    <row r="409" s="43" customFormat="1" ht="15.75" customHeight="1" x14ac:dyDescent="0.2"/>
    <row r="410" s="43" customFormat="1" ht="15.75" customHeight="1" x14ac:dyDescent="0.2"/>
    <row r="411" s="43" customFormat="1" ht="15.75" customHeight="1" x14ac:dyDescent="0.2"/>
    <row r="412" s="43" customFormat="1" ht="15.75" customHeight="1" x14ac:dyDescent="0.2"/>
    <row r="413" s="43" customFormat="1" ht="15.75" customHeight="1" x14ac:dyDescent="0.2"/>
    <row r="414" s="43" customFormat="1" ht="15.75" customHeight="1" x14ac:dyDescent="0.2"/>
    <row r="415" s="43" customFormat="1" ht="15.75" customHeight="1" x14ac:dyDescent="0.2"/>
    <row r="416" s="43" customFormat="1" ht="15.75" customHeight="1" x14ac:dyDescent="0.2"/>
    <row r="417" s="43" customFormat="1" ht="15.75" customHeight="1" x14ac:dyDescent="0.2"/>
    <row r="418" s="43" customFormat="1" ht="15.75" customHeight="1" x14ac:dyDescent="0.2"/>
    <row r="419" s="43" customFormat="1" ht="15.75" customHeight="1" x14ac:dyDescent="0.2"/>
    <row r="420" s="43" customFormat="1" ht="15.75" customHeight="1" x14ac:dyDescent="0.2"/>
    <row r="421" s="43" customFormat="1" ht="15.75" customHeight="1" x14ac:dyDescent="0.2"/>
    <row r="422" s="43" customFormat="1" ht="15.75" customHeight="1" x14ac:dyDescent="0.2"/>
    <row r="423" s="43" customFormat="1" ht="15.75" customHeight="1" x14ac:dyDescent="0.2"/>
    <row r="424" s="43" customFormat="1" ht="15.75" customHeight="1" x14ac:dyDescent="0.2"/>
    <row r="425" s="43" customFormat="1" ht="15.75" customHeight="1" x14ac:dyDescent="0.2"/>
    <row r="426" s="43" customFormat="1" ht="15.75" customHeight="1" x14ac:dyDescent="0.2"/>
    <row r="427" s="43" customFormat="1" ht="15.75" customHeight="1" x14ac:dyDescent="0.2"/>
    <row r="428" s="43" customFormat="1" ht="15.75" customHeight="1" x14ac:dyDescent="0.2"/>
    <row r="429" s="43" customFormat="1" ht="15.75" customHeight="1" x14ac:dyDescent="0.2"/>
    <row r="430" s="43" customFormat="1" ht="15.75" customHeight="1" x14ac:dyDescent="0.2"/>
    <row r="431" s="43" customFormat="1" ht="15.75" customHeight="1" x14ac:dyDescent="0.2"/>
    <row r="432" s="43" customFormat="1" ht="15.75" customHeight="1" x14ac:dyDescent="0.2"/>
    <row r="433" s="43" customFormat="1" ht="15.75" customHeight="1" x14ac:dyDescent="0.2"/>
    <row r="434" s="43" customFormat="1" ht="15.75" customHeight="1" x14ac:dyDescent="0.2"/>
    <row r="435" s="43" customFormat="1" ht="15.75" customHeight="1" x14ac:dyDescent="0.2"/>
    <row r="436" s="43" customFormat="1" ht="15.75" customHeight="1" x14ac:dyDescent="0.2"/>
    <row r="437" s="43" customFormat="1" ht="15.75" customHeight="1" x14ac:dyDescent="0.2"/>
    <row r="438" s="43" customFormat="1" ht="15.75" customHeight="1" x14ac:dyDescent="0.2"/>
    <row r="439" s="43" customFormat="1" ht="15.75" customHeight="1" x14ac:dyDescent="0.2"/>
    <row r="440" s="43" customFormat="1" ht="15.75" customHeight="1" x14ac:dyDescent="0.2"/>
    <row r="441" s="43" customFormat="1" ht="15.75" customHeight="1" x14ac:dyDescent="0.2"/>
    <row r="442" s="43" customFormat="1" ht="15.75" customHeight="1" x14ac:dyDescent="0.2"/>
    <row r="443" s="43" customFormat="1" ht="15.75" customHeight="1" x14ac:dyDescent="0.2"/>
    <row r="444" s="43" customFormat="1" ht="15.75" customHeight="1" x14ac:dyDescent="0.2"/>
    <row r="445" s="43" customFormat="1" ht="15.75" customHeight="1" x14ac:dyDescent="0.2"/>
    <row r="446" s="43" customFormat="1" ht="15.75" customHeight="1" x14ac:dyDescent="0.2"/>
    <row r="447" s="43" customFormat="1" ht="15.75" customHeight="1" x14ac:dyDescent="0.2"/>
    <row r="448" s="43" customFormat="1" ht="15.75" customHeight="1" x14ac:dyDescent="0.2"/>
    <row r="449" s="43" customFormat="1" ht="15.75" customHeight="1" x14ac:dyDescent="0.2"/>
    <row r="450" s="43" customFormat="1" ht="15.75" customHeight="1" x14ac:dyDescent="0.2"/>
    <row r="451" s="43" customFormat="1" ht="15.75" customHeight="1" x14ac:dyDescent="0.2"/>
    <row r="452" s="43" customFormat="1" ht="15.75" customHeight="1" x14ac:dyDescent="0.2"/>
    <row r="453" s="43" customFormat="1" ht="15.75" customHeight="1" x14ac:dyDescent="0.2"/>
    <row r="454" s="43" customFormat="1" ht="15.75" customHeight="1" x14ac:dyDescent="0.2"/>
    <row r="455" s="43" customFormat="1" ht="15.75" customHeight="1" x14ac:dyDescent="0.2"/>
    <row r="456" s="43" customFormat="1" ht="15.75" customHeight="1" x14ac:dyDescent="0.2"/>
    <row r="457" s="43" customFormat="1" ht="15.75" customHeight="1" x14ac:dyDescent="0.2"/>
    <row r="458" s="43" customFormat="1" ht="15.75" customHeight="1" x14ac:dyDescent="0.2"/>
    <row r="459" s="43" customFormat="1" ht="15.75" customHeight="1" x14ac:dyDescent="0.2"/>
    <row r="460" s="43" customFormat="1" ht="15.75" customHeight="1" x14ac:dyDescent="0.2"/>
    <row r="461" s="43" customFormat="1" ht="15.75" customHeight="1" x14ac:dyDescent="0.2"/>
    <row r="462" s="43" customFormat="1" ht="15.75" customHeight="1" x14ac:dyDescent="0.2"/>
    <row r="463" s="43" customFormat="1" ht="15.75" customHeight="1" x14ac:dyDescent="0.2"/>
    <row r="464" s="43" customFormat="1" ht="15.75" customHeight="1" x14ac:dyDescent="0.2"/>
    <row r="465" s="43" customFormat="1" ht="15.75" customHeight="1" x14ac:dyDescent="0.2"/>
    <row r="466" s="43" customFormat="1" ht="15.75" customHeight="1" x14ac:dyDescent="0.2"/>
    <row r="467" s="43" customFormat="1" ht="15.75" customHeight="1" x14ac:dyDescent="0.2"/>
    <row r="468" s="43" customFormat="1" ht="15.75" customHeight="1" x14ac:dyDescent="0.2"/>
    <row r="469" s="43" customFormat="1" ht="15.75" customHeight="1" x14ac:dyDescent="0.2"/>
    <row r="470" s="43" customFormat="1" ht="15.75" customHeight="1" x14ac:dyDescent="0.2"/>
    <row r="471" s="43" customFormat="1" ht="15.75" customHeight="1" x14ac:dyDescent="0.2"/>
    <row r="472" s="43" customFormat="1" ht="15.75" customHeight="1" x14ac:dyDescent="0.2"/>
    <row r="473" s="43" customFormat="1" ht="15.75" customHeight="1" x14ac:dyDescent="0.2"/>
    <row r="474" s="43" customFormat="1" ht="15.75" customHeight="1" x14ac:dyDescent="0.2"/>
    <row r="475" s="43" customFormat="1" ht="15.75" customHeight="1" x14ac:dyDescent="0.2"/>
    <row r="476" s="43" customFormat="1" ht="15.75" customHeight="1" x14ac:dyDescent="0.2"/>
    <row r="477" s="43" customFormat="1" ht="15.75" customHeight="1" x14ac:dyDescent="0.2"/>
    <row r="478" s="43" customFormat="1" ht="15.75" customHeight="1" x14ac:dyDescent="0.2"/>
    <row r="479" s="43" customFormat="1" ht="15.75" customHeight="1" x14ac:dyDescent="0.2"/>
    <row r="480" s="43" customFormat="1" ht="15.75" customHeight="1" x14ac:dyDescent="0.2"/>
    <row r="481" s="43" customFormat="1" ht="15.75" customHeight="1" x14ac:dyDescent="0.2"/>
    <row r="482" s="43" customFormat="1" ht="15.75" customHeight="1" x14ac:dyDescent="0.2"/>
    <row r="483" s="43" customFormat="1" ht="15.75" customHeight="1" x14ac:dyDescent="0.2"/>
    <row r="484" s="43" customFormat="1" ht="15.75" customHeight="1" x14ac:dyDescent="0.2"/>
    <row r="485" s="43" customFormat="1" ht="15.75" customHeight="1" x14ac:dyDescent="0.2"/>
    <row r="486" s="43" customFormat="1" ht="15.75" customHeight="1" x14ac:dyDescent="0.2"/>
    <row r="487" s="43" customFormat="1" ht="15.75" customHeight="1" x14ac:dyDescent="0.2"/>
    <row r="488" s="43" customFormat="1" ht="15.75" customHeight="1" x14ac:dyDescent="0.2"/>
    <row r="489" s="43" customFormat="1" ht="15.75" customHeight="1" x14ac:dyDescent="0.2"/>
    <row r="490" s="43" customFormat="1" ht="15.75" customHeight="1" x14ac:dyDescent="0.2"/>
    <row r="491" s="43" customFormat="1" ht="15.75" customHeight="1" x14ac:dyDescent="0.2"/>
    <row r="492" s="43" customFormat="1" ht="15.75" customHeight="1" x14ac:dyDescent="0.2"/>
    <row r="493" s="43" customFormat="1" ht="15.75" customHeight="1" x14ac:dyDescent="0.2"/>
    <row r="494" s="43" customFormat="1" ht="15.75" customHeight="1" x14ac:dyDescent="0.2"/>
    <row r="495" s="43" customFormat="1" ht="15.75" customHeight="1" x14ac:dyDescent="0.2"/>
    <row r="496" s="43" customFormat="1" ht="15.75" customHeight="1" x14ac:dyDescent="0.2"/>
    <row r="497" s="43" customFormat="1" ht="15.75" customHeight="1" x14ac:dyDescent="0.2"/>
    <row r="498" s="43" customFormat="1" ht="15.75" customHeight="1" x14ac:dyDescent="0.2"/>
    <row r="499" s="43" customFormat="1" ht="15.75" customHeight="1" x14ac:dyDescent="0.2"/>
    <row r="500" s="43" customFormat="1" ht="15.75" customHeight="1" x14ac:dyDescent="0.2"/>
    <row r="501" s="43" customFormat="1" ht="15.75" customHeight="1" x14ac:dyDescent="0.2"/>
    <row r="502" s="43" customFormat="1" ht="15.75" customHeight="1" x14ac:dyDescent="0.2"/>
    <row r="503" s="43" customFormat="1" ht="15.75" customHeight="1" x14ac:dyDescent="0.2"/>
    <row r="504" s="43" customFormat="1" ht="15.75" customHeight="1" x14ac:dyDescent="0.2"/>
    <row r="505" s="43" customFormat="1" ht="15.75" customHeight="1" x14ac:dyDescent="0.2"/>
    <row r="506" s="43" customFormat="1" ht="15.75" customHeight="1" x14ac:dyDescent="0.2"/>
    <row r="507" s="43" customFormat="1" ht="15.75" customHeight="1" x14ac:dyDescent="0.2"/>
    <row r="508" s="43" customFormat="1" ht="15.75" customHeight="1" x14ac:dyDescent="0.2"/>
    <row r="509" s="43" customFormat="1" ht="15.75" customHeight="1" x14ac:dyDescent="0.2"/>
    <row r="510" s="43" customFormat="1" ht="15.75" customHeight="1" x14ac:dyDescent="0.2"/>
    <row r="511" s="43" customFormat="1" ht="15.75" customHeight="1" x14ac:dyDescent="0.2"/>
    <row r="512" s="43" customFormat="1" ht="15.75" customHeight="1" x14ac:dyDescent="0.2"/>
    <row r="513" s="43" customFormat="1" ht="15.75" customHeight="1" x14ac:dyDescent="0.2"/>
    <row r="514" s="43" customFormat="1" ht="15.75" customHeight="1" x14ac:dyDescent="0.2"/>
    <row r="515" s="43" customFormat="1" ht="15.75" customHeight="1" x14ac:dyDescent="0.2"/>
    <row r="516" s="43" customFormat="1" ht="15.75" customHeight="1" x14ac:dyDescent="0.2"/>
    <row r="517" s="43" customFormat="1" ht="15.75" customHeight="1" x14ac:dyDescent="0.2"/>
    <row r="518" s="43" customFormat="1" ht="15.75" customHeight="1" x14ac:dyDescent="0.2"/>
    <row r="519" s="43" customFormat="1" ht="15.75" customHeight="1" x14ac:dyDescent="0.2"/>
    <row r="520" s="43" customFormat="1" ht="15.75" customHeight="1" x14ac:dyDescent="0.2"/>
    <row r="521" s="43" customFormat="1" ht="15.75" customHeight="1" x14ac:dyDescent="0.2"/>
    <row r="522" s="43" customFormat="1" ht="15.75" customHeight="1" x14ac:dyDescent="0.2"/>
    <row r="523" s="43" customFormat="1" ht="15.75" customHeight="1" x14ac:dyDescent="0.2"/>
    <row r="524" s="43" customFormat="1" ht="15.75" customHeight="1" x14ac:dyDescent="0.2"/>
    <row r="525" s="43" customFormat="1" ht="15.75" customHeight="1" x14ac:dyDescent="0.2"/>
    <row r="526" s="43" customFormat="1" ht="15.75" customHeight="1" x14ac:dyDescent="0.2"/>
    <row r="527" s="43" customFormat="1" ht="15.75" customHeight="1" x14ac:dyDescent="0.2"/>
    <row r="528" s="43" customFormat="1" ht="15.75" customHeight="1" x14ac:dyDescent="0.2"/>
    <row r="529" s="43" customFormat="1" ht="15.75" customHeight="1" x14ac:dyDescent="0.2"/>
    <row r="530" s="43" customFormat="1" ht="15.75" customHeight="1" x14ac:dyDescent="0.2"/>
    <row r="531" s="43" customFormat="1" ht="15.75" customHeight="1" x14ac:dyDescent="0.2"/>
    <row r="532" s="43" customFormat="1" ht="15.75" customHeight="1" x14ac:dyDescent="0.2"/>
    <row r="533" s="43" customFormat="1" ht="15.75" customHeight="1" x14ac:dyDescent="0.2"/>
    <row r="534" s="43" customFormat="1" ht="15.75" customHeight="1" x14ac:dyDescent="0.2"/>
    <row r="535" s="43" customFormat="1" ht="15.75" customHeight="1" x14ac:dyDescent="0.2"/>
    <row r="536" s="43" customFormat="1" ht="15.75" customHeight="1" x14ac:dyDescent="0.2"/>
    <row r="537" s="43" customFormat="1" ht="15.75" customHeight="1" x14ac:dyDescent="0.2"/>
    <row r="538" s="43" customFormat="1" ht="15.75" customHeight="1" x14ac:dyDescent="0.2"/>
    <row r="539" s="43" customFormat="1" ht="15.75" customHeight="1" x14ac:dyDescent="0.2"/>
    <row r="540" s="43" customFormat="1" ht="15.75" customHeight="1" x14ac:dyDescent="0.2"/>
    <row r="541" s="43" customFormat="1" ht="15.75" customHeight="1" x14ac:dyDescent="0.2"/>
    <row r="542" s="43" customFormat="1" ht="15.75" customHeight="1" x14ac:dyDescent="0.2"/>
    <row r="543" s="43" customFormat="1" ht="15.75" customHeight="1" x14ac:dyDescent="0.2"/>
    <row r="544" s="43" customFormat="1" ht="15.75" customHeight="1" x14ac:dyDescent="0.2"/>
    <row r="545" s="43" customFormat="1" ht="15.75" customHeight="1" x14ac:dyDescent="0.2"/>
    <row r="546" s="43" customFormat="1" ht="15.75" customHeight="1" x14ac:dyDescent="0.2"/>
    <row r="547" s="43" customFormat="1" ht="15.75" customHeight="1" x14ac:dyDescent="0.2"/>
    <row r="548" s="43" customFormat="1" ht="15.75" customHeight="1" x14ac:dyDescent="0.2"/>
    <row r="549" s="43" customFormat="1" ht="15.75" customHeight="1" x14ac:dyDescent="0.2"/>
    <row r="550" s="43" customFormat="1" ht="15.75" customHeight="1" x14ac:dyDescent="0.2"/>
    <row r="551" s="43" customFormat="1" ht="15.75" customHeight="1" x14ac:dyDescent="0.2"/>
    <row r="552" s="43" customFormat="1" ht="15.75" customHeight="1" x14ac:dyDescent="0.2"/>
    <row r="553" s="43" customFormat="1" ht="15.75" customHeight="1" x14ac:dyDescent="0.2"/>
    <row r="554" s="43" customFormat="1" ht="15.75" customHeight="1" x14ac:dyDescent="0.2"/>
    <row r="555" s="43" customFormat="1" ht="15.75" customHeight="1" x14ac:dyDescent="0.2"/>
    <row r="556" s="43" customFormat="1" ht="15.75" customHeight="1" x14ac:dyDescent="0.2"/>
    <row r="557" s="43" customFormat="1" ht="15.75" customHeight="1" x14ac:dyDescent="0.2"/>
    <row r="558" s="43" customFormat="1" ht="15.75" customHeight="1" x14ac:dyDescent="0.2"/>
    <row r="559" s="43" customFormat="1" ht="15.75" customHeight="1" x14ac:dyDescent="0.2"/>
    <row r="560" s="43" customFormat="1" ht="15.75" customHeight="1" x14ac:dyDescent="0.2"/>
    <row r="561" s="43" customFormat="1" ht="15.75" customHeight="1" x14ac:dyDescent="0.2"/>
    <row r="562" s="43" customFormat="1" ht="15.75" customHeight="1" x14ac:dyDescent="0.2"/>
    <row r="563" s="43" customFormat="1" ht="15.75" customHeight="1" x14ac:dyDescent="0.2"/>
    <row r="564" s="43" customFormat="1" ht="15.75" customHeight="1" x14ac:dyDescent="0.2"/>
    <row r="565" s="43" customFormat="1" ht="15.75" customHeight="1" x14ac:dyDescent="0.2"/>
    <row r="566" s="43" customFormat="1" ht="15.75" customHeight="1" x14ac:dyDescent="0.2"/>
    <row r="567" s="43" customFormat="1" ht="15.75" customHeight="1" x14ac:dyDescent="0.2"/>
    <row r="568" s="43" customFormat="1" ht="15.75" customHeight="1" x14ac:dyDescent="0.2"/>
    <row r="569" s="43" customFormat="1" ht="15.75" customHeight="1" x14ac:dyDescent="0.2"/>
    <row r="570" s="43" customFormat="1" ht="15.75" customHeight="1" x14ac:dyDescent="0.2"/>
    <row r="571" s="43" customFormat="1" ht="15.75" customHeight="1" x14ac:dyDescent="0.2"/>
    <row r="572" s="43" customFormat="1" ht="15.75" customHeight="1" x14ac:dyDescent="0.2"/>
    <row r="573" s="43" customFormat="1" ht="15.75" customHeight="1" x14ac:dyDescent="0.2"/>
    <row r="574" s="43" customFormat="1" ht="15.75" customHeight="1" x14ac:dyDescent="0.2"/>
    <row r="575" s="43" customFormat="1" ht="15.75" customHeight="1" x14ac:dyDescent="0.2"/>
    <row r="576" s="43" customFormat="1" ht="15.75" customHeight="1" x14ac:dyDescent="0.2"/>
    <row r="577" s="43" customFormat="1" ht="15.75" customHeight="1" x14ac:dyDescent="0.2"/>
    <row r="578" s="43" customFormat="1" ht="15.75" customHeight="1" x14ac:dyDescent="0.2"/>
    <row r="579" s="43" customFormat="1" ht="15.75" customHeight="1" x14ac:dyDescent="0.2"/>
    <row r="580" s="43" customFormat="1" ht="15.75" customHeight="1" x14ac:dyDescent="0.2"/>
    <row r="581" s="43" customFormat="1" ht="15.75" customHeight="1" x14ac:dyDescent="0.2"/>
    <row r="582" s="43" customFormat="1" ht="15.75" customHeight="1" x14ac:dyDescent="0.2"/>
    <row r="583" s="43" customFormat="1" ht="15.75" customHeight="1" x14ac:dyDescent="0.2"/>
    <row r="584" s="43" customFormat="1" ht="15.75" customHeight="1" x14ac:dyDescent="0.2"/>
    <row r="585" s="43" customFormat="1" ht="15.75" customHeight="1" x14ac:dyDescent="0.2"/>
    <row r="586" s="43" customFormat="1" ht="15.75" customHeight="1" x14ac:dyDescent="0.2"/>
    <row r="587" s="43" customFormat="1" ht="15.75" customHeight="1" x14ac:dyDescent="0.2"/>
    <row r="588" s="43" customFormat="1" ht="15.75" customHeight="1" x14ac:dyDescent="0.2"/>
    <row r="589" s="43" customFormat="1" ht="15.75" customHeight="1" x14ac:dyDescent="0.2"/>
    <row r="590" s="43" customFormat="1" ht="15.75" customHeight="1" x14ac:dyDescent="0.2"/>
    <row r="591" s="43" customFormat="1" ht="15.75" customHeight="1" x14ac:dyDescent="0.2"/>
    <row r="592" s="43" customFormat="1" ht="15.75" customHeight="1" x14ac:dyDescent="0.2"/>
    <row r="593" s="43" customFormat="1" ht="15.75" customHeight="1" x14ac:dyDescent="0.2"/>
    <row r="594" s="43" customFormat="1" ht="15.75" customHeight="1" x14ac:dyDescent="0.2"/>
    <row r="595" s="43" customFormat="1" ht="15.75" customHeight="1" x14ac:dyDescent="0.2"/>
    <row r="596" s="43" customFormat="1" ht="15.75" customHeight="1" x14ac:dyDescent="0.2"/>
    <row r="597" s="43" customFormat="1" ht="15.75" customHeight="1" x14ac:dyDescent="0.2"/>
    <row r="598" s="43" customFormat="1" ht="15.75" customHeight="1" x14ac:dyDescent="0.2"/>
    <row r="599" s="43" customFormat="1" ht="15.75" customHeight="1" x14ac:dyDescent="0.2"/>
    <row r="600" s="43" customFormat="1" ht="15.75" customHeight="1" x14ac:dyDescent="0.2"/>
    <row r="601" s="43" customFormat="1" ht="15.75" customHeight="1" x14ac:dyDescent="0.2"/>
    <row r="602" s="43" customFormat="1" ht="15.75" customHeight="1" x14ac:dyDescent="0.2"/>
    <row r="603" s="43" customFormat="1" ht="15.75" customHeight="1" x14ac:dyDescent="0.2"/>
    <row r="604" s="43" customFormat="1" ht="15.75" customHeight="1" x14ac:dyDescent="0.2"/>
    <row r="605" s="43" customFormat="1" ht="15.75" customHeight="1" x14ac:dyDescent="0.2"/>
    <row r="606" s="43" customFormat="1" ht="15.75" customHeight="1" x14ac:dyDescent="0.2"/>
    <row r="607" s="43" customFormat="1" ht="15.75" customHeight="1" x14ac:dyDescent="0.2"/>
    <row r="608" s="43" customFormat="1" ht="15.75" customHeight="1" x14ac:dyDescent="0.2"/>
    <row r="609" s="43" customFormat="1" ht="15.75" customHeight="1" x14ac:dyDescent="0.2"/>
    <row r="610" s="43" customFormat="1" ht="15.75" customHeight="1" x14ac:dyDescent="0.2"/>
    <row r="611" s="43" customFormat="1" ht="15.75" customHeight="1" x14ac:dyDescent="0.2"/>
    <row r="612" s="43" customFormat="1" ht="15.75" customHeight="1" x14ac:dyDescent="0.2"/>
    <row r="613" s="43" customFormat="1" ht="15.75" customHeight="1" x14ac:dyDescent="0.2"/>
    <row r="614" s="43" customFormat="1" ht="15.75" customHeight="1" x14ac:dyDescent="0.2"/>
    <row r="615" s="43" customFormat="1" ht="15.75" customHeight="1" x14ac:dyDescent="0.2"/>
    <row r="616" s="43" customFormat="1" ht="15.75" customHeight="1" x14ac:dyDescent="0.2"/>
    <row r="617" s="43" customFormat="1" ht="15.75" customHeight="1" x14ac:dyDescent="0.2"/>
    <row r="618" s="43" customFormat="1" ht="15.75" customHeight="1" x14ac:dyDescent="0.2"/>
    <row r="619" s="43" customFormat="1" ht="15.75" customHeight="1" x14ac:dyDescent="0.2"/>
    <row r="620" s="43" customFormat="1" ht="15.75" customHeight="1" x14ac:dyDescent="0.2"/>
    <row r="621" s="43" customFormat="1" ht="15.75" customHeight="1" x14ac:dyDescent="0.2"/>
    <row r="622" s="43" customFormat="1" ht="15.75" customHeight="1" x14ac:dyDescent="0.2"/>
    <row r="623" s="43" customFormat="1" ht="15.75" customHeight="1" x14ac:dyDescent="0.2"/>
    <row r="624" s="43" customFormat="1" ht="15.75" customHeight="1" x14ac:dyDescent="0.2"/>
    <row r="625" s="43" customFormat="1" ht="15.75" customHeight="1" x14ac:dyDescent="0.2"/>
    <row r="626" s="43" customFormat="1" ht="15.75" customHeight="1" x14ac:dyDescent="0.2"/>
    <row r="627" s="43" customFormat="1" ht="15.75" customHeight="1" x14ac:dyDescent="0.2"/>
    <row r="628" s="43" customFormat="1" ht="15.75" customHeight="1" x14ac:dyDescent="0.2"/>
    <row r="629" s="43" customFormat="1" ht="15.75" customHeight="1" x14ac:dyDescent="0.2"/>
    <row r="630" s="43" customFormat="1" ht="15.75" customHeight="1" x14ac:dyDescent="0.2"/>
    <row r="631" s="43" customFormat="1" ht="15.75" customHeight="1" x14ac:dyDescent="0.2"/>
    <row r="632" s="43" customFormat="1" ht="15.75" customHeight="1" x14ac:dyDescent="0.2"/>
    <row r="633" s="43" customFormat="1" ht="15.75" customHeight="1" x14ac:dyDescent="0.2"/>
    <row r="634" s="43" customFormat="1" ht="15.75" customHeight="1" x14ac:dyDescent="0.2"/>
    <row r="635" s="43" customFormat="1" ht="15.75" customHeight="1" x14ac:dyDescent="0.2"/>
    <row r="636" s="43" customFormat="1" ht="15.75" customHeight="1" x14ac:dyDescent="0.2"/>
    <row r="637" s="43" customFormat="1" ht="15.75" customHeight="1" x14ac:dyDescent="0.2"/>
    <row r="638" s="43" customFormat="1" ht="15.75" customHeight="1" x14ac:dyDescent="0.2"/>
    <row r="639" s="43" customFormat="1" ht="15.75" customHeight="1" x14ac:dyDescent="0.2"/>
    <row r="640" s="43" customFormat="1" ht="15.75" customHeight="1" x14ac:dyDescent="0.2"/>
    <row r="641" s="43" customFormat="1" ht="15.75" customHeight="1" x14ac:dyDescent="0.2"/>
    <row r="642" s="43" customFormat="1" ht="15.75" customHeight="1" x14ac:dyDescent="0.2"/>
    <row r="643" s="43" customFormat="1" ht="15.75" customHeight="1" x14ac:dyDescent="0.2"/>
    <row r="644" s="43" customFormat="1" ht="15.75" customHeight="1" x14ac:dyDescent="0.2"/>
    <row r="645" s="43" customFormat="1" ht="15.75" customHeight="1" x14ac:dyDescent="0.2"/>
    <row r="646" s="43" customFormat="1" ht="15.75" customHeight="1" x14ac:dyDescent="0.2"/>
    <row r="647" s="43" customFormat="1" ht="15.75" customHeight="1" x14ac:dyDescent="0.2"/>
    <row r="648" s="43" customFormat="1" ht="15.75" customHeight="1" x14ac:dyDescent="0.2"/>
    <row r="649" s="43" customFormat="1" ht="15.75" customHeight="1" x14ac:dyDescent="0.2"/>
    <row r="650" s="43" customFormat="1" ht="15.75" customHeight="1" x14ac:dyDescent="0.2"/>
    <row r="651" s="43" customFormat="1" ht="15.75" customHeight="1" x14ac:dyDescent="0.2"/>
    <row r="652" s="43" customFormat="1" ht="15.75" customHeight="1" x14ac:dyDescent="0.2"/>
    <row r="653" s="43" customFormat="1" ht="15.75" customHeight="1" x14ac:dyDescent="0.2"/>
    <row r="654" s="43" customFormat="1" ht="15.75" customHeight="1" x14ac:dyDescent="0.2"/>
    <row r="655" s="43" customFormat="1" ht="15.75" customHeight="1" x14ac:dyDescent="0.2"/>
    <row r="656" s="43" customFormat="1" ht="15.75" customHeight="1" x14ac:dyDescent="0.2"/>
    <row r="657" s="43" customFormat="1" ht="15.75" customHeight="1" x14ac:dyDescent="0.2"/>
    <row r="658" s="43" customFormat="1" ht="15.75" customHeight="1" x14ac:dyDescent="0.2"/>
    <row r="659" s="43" customFormat="1" ht="15.75" customHeight="1" x14ac:dyDescent="0.2"/>
    <row r="660" s="43" customFormat="1" ht="15.75" customHeight="1" x14ac:dyDescent="0.2"/>
    <row r="661" s="43" customFormat="1" ht="15.75" customHeight="1" x14ac:dyDescent="0.2"/>
    <row r="662" s="43" customFormat="1" ht="15.75" customHeight="1" x14ac:dyDescent="0.2"/>
    <row r="663" s="43" customFormat="1" ht="15.75" customHeight="1" x14ac:dyDescent="0.2"/>
    <row r="664" s="43" customFormat="1" ht="15.75" customHeight="1" x14ac:dyDescent="0.2"/>
    <row r="665" s="43" customFormat="1" ht="15.75" customHeight="1" x14ac:dyDescent="0.2"/>
    <row r="666" s="43" customFormat="1" ht="15.75" customHeight="1" x14ac:dyDescent="0.2"/>
    <row r="667" s="43" customFormat="1" ht="15.75" customHeight="1" x14ac:dyDescent="0.2"/>
    <row r="668" s="43" customFormat="1" ht="15.75" customHeight="1" x14ac:dyDescent="0.2"/>
    <row r="669" s="43" customFormat="1" ht="15.75" customHeight="1" x14ac:dyDescent="0.2"/>
    <row r="670" s="43" customFormat="1" ht="15.75" customHeight="1" x14ac:dyDescent="0.2"/>
    <row r="671" s="43" customFormat="1" ht="15.75" customHeight="1" x14ac:dyDescent="0.2"/>
    <row r="672" s="43" customFormat="1" ht="15.75" customHeight="1" x14ac:dyDescent="0.2"/>
    <row r="673" s="43" customFormat="1" ht="15.75" customHeight="1" x14ac:dyDescent="0.2"/>
    <row r="674" s="43" customFormat="1" ht="15.75" customHeight="1" x14ac:dyDescent="0.2"/>
    <row r="675" s="43" customFormat="1" ht="15.75" customHeight="1" x14ac:dyDescent="0.2"/>
    <row r="676" s="43" customFormat="1" ht="15.75" customHeight="1" x14ac:dyDescent="0.2"/>
    <row r="677" s="43" customFormat="1" ht="15.75" customHeight="1" x14ac:dyDescent="0.2"/>
    <row r="678" s="43" customFormat="1" ht="15.75" customHeight="1" x14ac:dyDescent="0.2"/>
    <row r="679" s="43" customFormat="1" ht="15.75" customHeight="1" x14ac:dyDescent="0.2"/>
    <row r="680" s="43" customFormat="1" ht="15.75" customHeight="1" x14ac:dyDescent="0.2"/>
    <row r="681" s="43" customFormat="1" ht="15.75" customHeight="1" x14ac:dyDescent="0.2"/>
    <row r="682" s="43" customFormat="1" ht="15.75" customHeight="1" x14ac:dyDescent="0.2"/>
    <row r="683" s="43" customFormat="1" ht="15.75" customHeight="1" x14ac:dyDescent="0.2"/>
    <row r="684" s="43" customFormat="1" ht="15.75" customHeight="1" x14ac:dyDescent="0.2"/>
    <row r="685" s="43" customFormat="1" ht="15.75" customHeight="1" x14ac:dyDescent="0.2"/>
    <row r="686" s="43" customFormat="1" ht="15.75" customHeight="1" x14ac:dyDescent="0.2"/>
    <row r="687" s="43" customFormat="1" ht="15.75" customHeight="1" x14ac:dyDescent="0.2"/>
    <row r="688" s="43" customFormat="1" ht="15.75" customHeight="1" x14ac:dyDescent="0.2"/>
    <row r="689" s="43" customFormat="1" ht="15.75" customHeight="1" x14ac:dyDescent="0.2"/>
    <row r="690" s="43" customFormat="1" ht="15.75" customHeight="1" x14ac:dyDescent="0.2"/>
    <row r="691" s="43" customFormat="1" ht="15.75" customHeight="1" x14ac:dyDescent="0.2"/>
    <row r="692" s="43" customFormat="1" ht="15.75" customHeight="1" x14ac:dyDescent="0.2"/>
    <row r="693" s="43" customFormat="1" ht="15.75" customHeight="1" x14ac:dyDescent="0.2"/>
    <row r="694" s="43" customFormat="1" ht="15.75" customHeight="1" x14ac:dyDescent="0.2"/>
    <row r="695" s="43" customFormat="1" ht="15.75" customHeight="1" x14ac:dyDescent="0.2"/>
    <row r="696" s="43" customFormat="1" ht="15.75" customHeight="1" x14ac:dyDescent="0.2"/>
    <row r="697" s="43" customFormat="1" ht="15.75" customHeight="1" x14ac:dyDescent="0.2"/>
    <row r="698" s="43" customFormat="1" ht="15.75" customHeight="1" x14ac:dyDescent="0.2"/>
    <row r="699" s="43" customFormat="1" ht="15.75" customHeight="1" x14ac:dyDescent="0.2"/>
    <row r="700" s="43" customFormat="1" ht="15.75" customHeight="1" x14ac:dyDescent="0.2"/>
    <row r="701" s="43" customFormat="1" ht="15.75" customHeight="1" x14ac:dyDescent="0.2"/>
    <row r="702" s="43" customFormat="1" ht="15.75" customHeight="1" x14ac:dyDescent="0.2"/>
    <row r="703" s="43" customFormat="1" ht="15.75" customHeight="1" x14ac:dyDescent="0.2"/>
    <row r="704" s="43" customFormat="1" ht="15.75" customHeight="1" x14ac:dyDescent="0.2"/>
    <row r="705" s="43" customFormat="1" ht="15.75" customHeight="1" x14ac:dyDescent="0.2"/>
    <row r="706" s="43" customFormat="1" ht="15.75" customHeight="1" x14ac:dyDescent="0.2"/>
    <row r="707" s="43" customFormat="1" ht="15.75" customHeight="1" x14ac:dyDescent="0.2"/>
    <row r="708" s="43" customFormat="1" ht="15.75" customHeight="1" x14ac:dyDescent="0.2"/>
    <row r="709" s="43" customFormat="1" ht="15.75" customHeight="1" x14ac:dyDescent="0.2"/>
    <row r="710" s="43" customFormat="1" ht="15.75" customHeight="1" x14ac:dyDescent="0.2"/>
    <row r="711" s="43" customFormat="1" ht="15.75" customHeight="1" x14ac:dyDescent="0.2"/>
    <row r="712" s="43" customFormat="1" ht="15.75" customHeight="1" x14ac:dyDescent="0.2"/>
    <row r="713" s="43" customFormat="1" ht="15.75" customHeight="1" x14ac:dyDescent="0.2"/>
    <row r="714" s="43" customFormat="1" ht="15.75" customHeight="1" x14ac:dyDescent="0.2"/>
    <row r="715" s="43" customFormat="1" ht="15.75" customHeight="1" x14ac:dyDescent="0.2"/>
    <row r="716" s="43" customFormat="1" ht="15.75" customHeight="1" x14ac:dyDescent="0.2"/>
    <row r="717" s="43" customFormat="1" ht="15.75" customHeight="1" x14ac:dyDescent="0.2"/>
    <row r="718" s="43" customFormat="1" ht="15.75" customHeight="1" x14ac:dyDescent="0.2"/>
    <row r="719" s="43" customFormat="1" ht="15.75" customHeight="1" x14ac:dyDescent="0.2"/>
    <row r="720" s="43" customFormat="1" ht="15.75" customHeight="1" x14ac:dyDescent="0.2"/>
    <row r="721" s="43" customFormat="1" ht="15.75" customHeight="1" x14ac:dyDescent="0.2"/>
    <row r="722" s="43" customFormat="1" ht="15.75" customHeight="1" x14ac:dyDescent="0.2"/>
    <row r="723" s="43" customFormat="1" ht="15.75" customHeight="1" x14ac:dyDescent="0.2"/>
    <row r="724" s="43" customFormat="1" ht="15.75" customHeight="1" x14ac:dyDescent="0.2"/>
    <row r="725" s="43" customFormat="1" ht="15.75" customHeight="1" x14ac:dyDescent="0.2"/>
    <row r="726" s="43" customFormat="1" ht="15.75" customHeight="1" x14ac:dyDescent="0.2"/>
    <row r="727" s="43" customFormat="1" ht="15.75" customHeight="1" x14ac:dyDescent="0.2"/>
    <row r="728" s="43" customFormat="1" ht="15.75" customHeight="1" x14ac:dyDescent="0.2"/>
    <row r="729" s="43" customFormat="1" ht="15.75" customHeight="1" x14ac:dyDescent="0.2"/>
    <row r="730" s="43" customFormat="1" ht="15.75" customHeight="1" x14ac:dyDescent="0.2"/>
    <row r="731" s="43" customFormat="1" ht="15.75" customHeight="1" x14ac:dyDescent="0.2"/>
    <row r="732" s="43" customFormat="1" ht="15.75" customHeight="1" x14ac:dyDescent="0.2"/>
    <row r="733" s="43" customFormat="1" ht="15.75" customHeight="1" x14ac:dyDescent="0.2"/>
    <row r="734" s="43" customFormat="1" ht="15.75" customHeight="1" x14ac:dyDescent="0.2"/>
    <row r="735" s="43" customFormat="1" ht="15.75" customHeight="1" x14ac:dyDescent="0.2"/>
    <row r="736" s="43" customFormat="1" ht="15.75" customHeight="1" x14ac:dyDescent="0.2"/>
    <row r="737" s="43" customFormat="1" ht="15.75" customHeight="1" x14ac:dyDescent="0.2"/>
    <row r="738" s="43" customFormat="1" ht="15.75" customHeight="1" x14ac:dyDescent="0.2"/>
    <row r="739" s="43" customFormat="1" ht="15.75" customHeight="1" x14ac:dyDescent="0.2"/>
    <row r="740" s="43" customFormat="1" ht="15.75" customHeight="1" x14ac:dyDescent="0.2"/>
    <row r="741" s="43" customFormat="1" ht="15.75" customHeight="1" x14ac:dyDescent="0.2"/>
    <row r="742" s="43" customFormat="1" ht="15.75" customHeight="1" x14ac:dyDescent="0.2"/>
    <row r="743" s="43" customFormat="1" ht="15.75" customHeight="1" x14ac:dyDescent="0.2"/>
    <row r="744" s="43" customFormat="1" ht="15.75" customHeight="1" x14ac:dyDescent="0.2"/>
    <row r="745" s="43" customFormat="1" ht="15.75" customHeight="1" x14ac:dyDescent="0.2"/>
    <row r="746" s="43" customFormat="1" ht="15.75" customHeight="1" x14ac:dyDescent="0.2"/>
    <row r="747" s="43" customFormat="1" ht="15.75" customHeight="1" x14ac:dyDescent="0.2"/>
    <row r="748" s="43" customFormat="1" ht="15.75" customHeight="1" x14ac:dyDescent="0.2"/>
    <row r="749" s="43" customFormat="1" ht="15.75" customHeight="1" x14ac:dyDescent="0.2"/>
    <row r="750" s="43" customFormat="1" ht="15.75" customHeight="1" x14ac:dyDescent="0.2"/>
    <row r="751" s="43" customFormat="1" ht="15.75" customHeight="1" x14ac:dyDescent="0.2"/>
    <row r="752" s="43" customFormat="1" ht="15.75" customHeight="1" x14ac:dyDescent="0.2"/>
    <row r="753" s="43" customFormat="1" ht="15.75" customHeight="1" x14ac:dyDescent="0.2"/>
    <row r="754" s="43" customFormat="1" ht="15.75" customHeight="1" x14ac:dyDescent="0.2"/>
    <row r="755" s="43" customFormat="1" ht="15.75" customHeight="1" x14ac:dyDescent="0.2"/>
    <row r="756" s="43" customFormat="1" ht="15.75" customHeight="1" x14ac:dyDescent="0.2"/>
    <row r="757" s="43" customFormat="1" ht="15.75" customHeight="1" x14ac:dyDescent="0.2"/>
    <row r="758" s="43" customFormat="1" ht="15.75" customHeight="1" x14ac:dyDescent="0.2"/>
    <row r="759" s="43" customFormat="1" ht="15.75" customHeight="1" x14ac:dyDescent="0.2"/>
    <row r="760" s="43" customFormat="1" ht="15.75" customHeight="1" x14ac:dyDescent="0.2"/>
    <row r="761" s="43" customFormat="1" ht="15.75" customHeight="1" x14ac:dyDescent="0.2"/>
    <row r="762" s="43" customFormat="1" ht="15.75" customHeight="1" x14ac:dyDescent="0.2"/>
    <row r="763" s="43" customFormat="1" ht="15.75" customHeight="1" x14ac:dyDescent="0.2"/>
    <row r="764" s="43" customFormat="1" ht="15.75" customHeight="1" x14ac:dyDescent="0.2"/>
    <row r="765" s="43" customFormat="1" ht="15.75" customHeight="1" x14ac:dyDescent="0.2"/>
    <row r="766" s="43" customFormat="1" ht="15.75" customHeight="1" x14ac:dyDescent="0.2"/>
    <row r="767" s="43" customFormat="1" ht="15.75" customHeight="1" x14ac:dyDescent="0.2"/>
    <row r="768" s="43" customFormat="1" ht="15.75" customHeight="1" x14ac:dyDescent="0.2"/>
    <row r="769" s="43" customFormat="1" ht="15.75" customHeight="1" x14ac:dyDescent="0.2"/>
    <row r="770" s="43" customFormat="1" ht="15.75" customHeight="1" x14ac:dyDescent="0.2"/>
    <row r="771" s="43" customFormat="1" ht="15.75" customHeight="1" x14ac:dyDescent="0.2"/>
    <row r="772" s="43" customFormat="1" ht="15.75" customHeight="1" x14ac:dyDescent="0.2"/>
    <row r="773" s="43" customFormat="1" ht="15.75" customHeight="1" x14ac:dyDescent="0.2"/>
    <row r="774" s="43" customFormat="1" ht="15.75" customHeight="1" x14ac:dyDescent="0.2"/>
    <row r="775" s="43" customFormat="1" ht="15.75" customHeight="1" x14ac:dyDescent="0.2"/>
    <row r="776" s="43" customFormat="1" ht="15.75" customHeight="1" x14ac:dyDescent="0.2"/>
    <row r="777" s="43" customFormat="1" ht="15.75" customHeight="1" x14ac:dyDescent="0.2"/>
    <row r="778" s="43" customFormat="1" ht="15.75" customHeight="1" x14ac:dyDescent="0.2"/>
    <row r="779" s="43" customFormat="1" ht="15.75" customHeight="1" x14ac:dyDescent="0.2"/>
    <row r="780" s="43" customFormat="1" ht="15.75" customHeight="1" x14ac:dyDescent="0.2"/>
    <row r="781" s="43" customFormat="1" ht="15.75" customHeight="1" x14ac:dyDescent="0.2"/>
    <row r="782" s="43" customFormat="1" ht="15.75" customHeight="1" x14ac:dyDescent="0.2"/>
    <row r="783" s="43" customFormat="1" ht="15.75" customHeight="1" x14ac:dyDescent="0.2"/>
    <row r="784" s="43" customFormat="1" ht="15.75" customHeight="1" x14ac:dyDescent="0.2"/>
    <row r="785" s="43" customFormat="1" ht="15.75" customHeight="1" x14ac:dyDescent="0.2"/>
    <row r="786" s="43" customFormat="1" ht="15.75" customHeight="1" x14ac:dyDescent="0.2"/>
    <row r="787" s="43" customFormat="1" ht="15.75" customHeight="1" x14ac:dyDescent="0.2"/>
    <row r="788" s="43" customFormat="1" ht="15.75" customHeight="1" x14ac:dyDescent="0.2"/>
    <row r="789" s="43" customFormat="1" ht="15.75" customHeight="1" x14ac:dyDescent="0.2"/>
    <row r="790" s="43" customFormat="1" ht="15.75" customHeight="1" x14ac:dyDescent="0.2"/>
    <row r="791" s="43" customFormat="1" ht="15.75" customHeight="1" x14ac:dyDescent="0.2"/>
    <row r="792" s="43" customFormat="1" ht="15.75" customHeight="1" x14ac:dyDescent="0.2"/>
    <row r="793" s="43" customFormat="1" ht="15.75" customHeight="1" x14ac:dyDescent="0.2"/>
    <row r="794" s="43" customFormat="1" ht="15.75" customHeight="1" x14ac:dyDescent="0.2"/>
    <row r="795" s="43" customFormat="1" ht="15.75" customHeight="1" x14ac:dyDescent="0.2"/>
    <row r="796" s="43" customFormat="1" ht="15.75" customHeight="1" x14ac:dyDescent="0.2"/>
    <row r="797" s="43" customFormat="1" ht="15.75" customHeight="1" x14ac:dyDescent="0.2"/>
    <row r="798" s="43" customFormat="1" ht="15.75" customHeight="1" x14ac:dyDescent="0.2"/>
    <row r="799" s="43" customFormat="1" ht="15.75" customHeight="1" x14ac:dyDescent="0.2"/>
    <row r="800" s="43" customFormat="1" ht="15.75" customHeight="1" x14ac:dyDescent="0.2"/>
    <row r="801" s="43" customFormat="1" ht="15.75" customHeight="1" x14ac:dyDescent="0.2"/>
    <row r="802" s="43" customFormat="1" ht="15.75" customHeight="1" x14ac:dyDescent="0.2"/>
    <row r="803" s="43" customFormat="1" ht="15.75" customHeight="1" x14ac:dyDescent="0.2"/>
    <row r="804" s="43" customFormat="1" ht="15.75" customHeight="1" x14ac:dyDescent="0.2"/>
    <row r="805" s="43" customFormat="1" ht="15.75" customHeight="1" x14ac:dyDescent="0.2"/>
    <row r="806" s="43" customFormat="1" ht="15.75" customHeight="1" x14ac:dyDescent="0.2"/>
    <row r="807" s="43" customFormat="1" ht="15.75" customHeight="1" x14ac:dyDescent="0.2"/>
    <row r="808" s="43" customFormat="1" ht="15.75" customHeight="1" x14ac:dyDescent="0.2"/>
    <row r="809" s="43" customFormat="1" ht="15.75" customHeight="1" x14ac:dyDescent="0.2"/>
    <row r="810" s="43" customFormat="1" ht="15.75" customHeight="1" x14ac:dyDescent="0.2"/>
    <row r="811" s="43" customFormat="1" ht="15.75" customHeight="1" x14ac:dyDescent="0.2"/>
    <row r="812" s="43" customFormat="1" ht="15.75" customHeight="1" x14ac:dyDescent="0.2"/>
    <row r="813" s="43" customFormat="1" ht="15.75" customHeight="1" x14ac:dyDescent="0.2"/>
    <row r="814" s="43" customFormat="1" ht="15.75" customHeight="1" x14ac:dyDescent="0.2"/>
    <row r="815" s="43" customFormat="1" ht="15.75" customHeight="1" x14ac:dyDescent="0.2"/>
    <row r="816" s="43" customFormat="1" ht="15.75" customHeight="1" x14ac:dyDescent="0.2"/>
    <row r="817" s="43" customFormat="1" ht="15.75" customHeight="1" x14ac:dyDescent="0.2"/>
    <row r="818" s="43" customFormat="1" ht="15.75" customHeight="1" x14ac:dyDescent="0.2"/>
    <row r="819" s="43" customFormat="1" ht="15.75" customHeight="1" x14ac:dyDescent="0.2"/>
    <row r="820" s="43" customFormat="1" ht="15.75" customHeight="1" x14ac:dyDescent="0.2"/>
    <row r="821" s="43" customFormat="1" ht="15.75" customHeight="1" x14ac:dyDescent="0.2"/>
    <row r="822" s="43" customFormat="1" ht="15.75" customHeight="1" x14ac:dyDescent="0.2"/>
    <row r="823" s="43" customFormat="1" ht="15.75" customHeight="1" x14ac:dyDescent="0.2"/>
    <row r="824" s="43" customFormat="1" ht="15.75" customHeight="1" x14ac:dyDescent="0.2"/>
    <row r="825" s="43" customFormat="1" ht="15.75" customHeight="1" x14ac:dyDescent="0.2"/>
    <row r="826" s="43" customFormat="1" ht="15.75" customHeight="1" x14ac:dyDescent="0.2"/>
    <row r="827" s="43" customFormat="1" ht="15.75" customHeight="1" x14ac:dyDescent="0.2"/>
    <row r="828" s="43" customFormat="1" ht="15.75" customHeight="1" x14ac:dyDescent="0.2"/>
    <row r="829" s="43" customFormat="1" ht="15.75" customHeight="1" x14ac:dyDescent="0.2"/>
    <row r="830" s="43" customFormat="1" ht="15.75" customHeight="1" x14ac:dyDescent="0.2"/>
    <row r="831" s="43" customFormat="1" ht="15.75" customHeight="1" x14ac:dyDescent="0.2"/>
    <row r="832" s="43" customFormat="1" ht="15.75" customHeight="1" x14ac:dyDescent="0.2"/>
    <row r="833" s="43" customFormat="1" ht="15.75" customHeight="1" x14ac:dyDescent="0.2"/>
    <row r="834" s="43" customFormat="1" ht="15.75" customHeight="1" x14ac:dyDescent="0.2"/>
    <row r="835" s="43" customFormat="1" ht="15.75" customHeight="1" x14ac:dyDescent="0.2"/>
    <row r="836" s="43" customFormat="1" ht="15.75" customHeight="1" x14ac:dyDescent="0.2"/>
    <row r="837" s="43" customFormat="1" ht="15.75" customHeight="1" x14ac:dyDescent="0.2"/>
    <row r="838" s="43" customFormat="1" ht="15.75" customHeight="1" x14ac:dyDescent="0.2"/>
    <row r="839" s="43" customFormat="1" ht="15.75" customHeight="1" x14ac:dyDescent="0.2"/>
    <row r="840" s="43" customFormat="1" ht="15.75" customHeight="1" x14ac:dyDescent="0.2"/>
    <row r="841" s="43" customFormat="1" ht="15.75" customHeight="1" x14ac:dyDescent="0.2"/>
    <row r="842" s="43" customFormat="1" ht="15.75" customHeight="1" x14ac:dyDescent="0.2"/>
    <row r="843" s="43" customFormat="1" ht="15.75" customHeight="1" x14ac:dyDescent="0.2"/>
    <row r="844" s="43" customFormat="1" ht="15.75" customHeight="1" x14ac:dyDescent="0.2"/>
    <row r="845" s="43" customFormat="1" ht="15.75" customHeight="1" x14ac:dyDescent="0.2"/>
    <row r="846" s="43" customFormat="1" ht="15.75" customHeight="1" x14ac:dyDescent="0.2"/>
    <row r="847" s="43" customFormat="1" ht="15.75" customHeight="1" x14ac:dyDescent="0.2"/>
    <row r="848" s="43" customFormat="1" ht="15.75" customHeight="1" x14ac:dyDescent="0.2"/>
    <row r="849" s="43" customFormat="1" ht="15.75" customHeight="1" x14ac:dyDescent="0.2"/>
    <row r="850" s="43" customFormat="1" ht="15.75" customHeight="1" x14ac:dyDescent="0.2"/>
    <row r="851" s="43" customFormat="1" ht="15.75" customHeight="1" x14ac:dyDescent="0.2"/>
    <row r="852" s="43" customFormat="1" ht="15.75" customHeight="1" x14ac:dyDescent="0.2"/>
    <row r="853" s="43" customFormat="1" ht="15.75" customHeight="1" x14ac:dyDescent="0.2"/>
    <row r="854" s="43" customFormat="1" ht="15.75" customHeight="1" x14ac:dyDescent="0.2"/>
    <row r="855" s="43" customFormat="1" ht="15.75" customHeight="1" x14ac:dyDescent="0.2"/>
    <row r="856" s="43" customFormat="1" ht="15.75" customHeight="1" x14ac:dyDescent="0.2"/>
    <row r="857" s="43" customFormat="1" ht="15.75" customHeight="1" x14ac:dyDescent="0.2"/>
    <row r="858" s="43" customFormat="1" ht="15.75" customHeight="1" x14ac:dyDescent="0.2"/>
    <row r="859" s="43" customFormat="1" ht="15.75" customHeight="1" x14ac:dyDescent="0.2"/>
    <row r="860" s="43" customFormat="1" ht="15.75" customHeight="1" x14ac:dyDescent="0.2"/>
    <row r="861" s="43" customFormat="1" ht="15.75" customHeight="1" x14ac:dyDescent="0.2"/>
    <row r="862" s="43" customFormat="1" ht="15.75" customHeight="1" x14ac:dyDescent="0.2"/>
    <row r="863" s="43" customFormat="1" ht="15.75" customHeight="1" x14ac:dyDescent="0.2"/>
    <row r="864" s="43" customFormat="1" ht="15.75" customHeight="1" x14ac:dyDescent="0.2"/>
    <row r="865" s="43" customFormat="1" ht="15.75" customHeight="1" x14ac:dyDescent="0.2"/>
    <row r="866" s="43" customFormat="1" ht="15.75" customHeight="1" x14ac:dyDescent="0.2"/>
    <row r="867" s="43" customFormat="1" ht="15.75" customHeight="1" x14ac:dyDescent="0.2"/>
    <row r="868" s="43" customFormat="1" ht="15.75" customHeight="1" x14ac:dyDescent="0.2"/>
    <row r="869" s="43" customFormat="1" ht="15.75" customHeight="1" x14ac:dyDescent="0.2"/>
    <row r="870" s="43" customFormat="1" ht="15.75" customHeight="1" x14ac:dyDescent="0.2"/>
    <row r="871" s="43" customFormat="1" ht="15.75" customHeight="1" x14ac:dyDescent="0.2"/>
    <row r="872" s="43" customFormat="1" ht="15.75" customHeight="1" x14ac:dyDescent="0.2"/>
    <row r="873" s="43" customFormat="1" ht="15.75" customHeight="1" x14ac:dyDescent="0.2"/>
    <row r="874" s="43" customFormat="1" ht="15.75" customHeight="1" x14ac:dyDescent="0.2"/>
    <row r="875" s="43" customFormat="1" ht="15.75" customHeight="1" x14ac:dyDescent="0.2"/>
    <row r="876" s="43" customFormat="1" ht="15.75" customHeight="1" x14ac:dyDescent="0.2"/>
    <row r="877" s="43" customFormat="1" ht="15.75" customHeight="1" x14ac:dyDescent="0.2"/>
    <row r="878" s="43" customFormat="1" ht="15.75" customHeight="1" x14ac:dyDescent="0.2"/>
    <row r="879" s="43" customFormat="1" ht="15.75" customHeight="1" x14ac:dyDescent="0.2"/>
    <row r="880" s="43" customFormat="1" ht="15.75" customHeight="1" x14ac:dyDescent="0.2"/>
    <row r="881" s="43" customFormat="1" ht="15.75" customHeight="1" x14ac:dyDescent="0.2"/>
    <row r="882" s="43" customFormat="1" ht="15.75" customHeight="1" x14ac:dyDescent="0.2"/>
    <row r="883" s="43" customFormat="1" ht="15.75" customHeight="1" x14ac:dyDescent="0.2"/>
    <row r="884" s="43" customFormat="1" ht="15.75" customHeight="1" x14ac:dyDescent="0.2"/>
    <row r="885" s="43" customFormat="1" ht="15.75" customHeight="1" x14ac:dyDescent="0.2"/>
    <row r="886" s="43" customFormat="1" ht="15.75" customHeight="1" x14ac:dyDescent="0.2"/>
    <row r="887" s="43" customFormat="1" ht="15.75" customHeight="1" x14ac:dyDescent="0.2"/>
    <row r="888" s="43" customFormat="1" ht="15.75" customHeight="1" x14ac:dyDescent="0.2"/>
    <row r="889" s="43" customFormat="1" ht="15.75" customHeight="1" x14ac:dyDescent="0.2"/>
    <row r="890" s="43" customFormat="1" ht="15.75" customHeight="1" x14ac:dyDescent="0.2"/>
    <row r="891" s="43" customFormat="1" ht="15.75" customHeight="1" x14ac:dyDescent="0.2"/>
    <row r="892" s="43" customFormat="1" ht="15.75" customHeight="1" x14ac:dyDescent="0.2"/>
    <row r="893" s="43" customFormat="1" ht="15.75" customHeight="1" x14ac:dyDescent="0.2"/>
    <row r="894" s="43" customFormat="1" ht="15.75" customHeight="1" x14ac:dyDescent="0.2"/>
    <row r="895" s="43" customFormat="1" ht="15.75" customHeight="1" x14ac:dyDescent="0.2"/>
    <row r="896" s="43" customFormat="1" ht="15.75" customHeight="1" x14ac:dyDescent="0.2"/>
    <row r="897" s="43" customFormat="1" ht="15.75" customHeight="1" x14ac:dyDescent="0.2"/>
    <row r="898" s="43" customFormat="1" ht="15.75" customHeight="1" x14ac:dyDescent="0.2"/>
    <row r="899" s="43" customFormat="1" ht="15.75" customHeight="1" x14ac:dyDescent="0.2"/>
    <row r="900" s="43" customFormat="1" ht="15.75" customHeight="1" x14ac:dyDescent="0.2"/>
    <row r="901" s="43" customFormat="1" ht="15.75" customHeight="1" x14ac:dyDescent="0.2"/>
    <row r="902" s="43" customFormat="1" ht="15.75" customHeight="1" x14ac:dyDescent="0.2"/>
    <row r="903" s="43" customFormat="1" ht="15.75" customHeight="1" x14ac:dyDescent="0.2"/>
    <row r="904" s="43" customFormat="1" ht="15.75" customHeight="1" x14ac:dyDescent="0.2"/>
    <row r="905" s="43" customFormat="1" ht="15.75" customHeight="1" x14ac:dyDescent="0.2"/>
    <row r="906" s="43" customFormat="1" ht="15.75" customHeight="1" x14ac:dyDescent="0.2"/>
    <row r="907" s="43" customFormat="1" ht="15.75" customHeight="1" x14ac:dyDescent="0.2"/>
    <row r="908" s="43" customFormat="1" ht="15.75" customHeight="1" x14ac:dyDescent="0.2"/>
    <row r="909" s="43" customFormat="1" ht="15.75" customHeight="1" x14ac:dyDescent="0.2"/>
    <row r="910" s="43" customFormat="1" ht="15.75" customHeight="1" x14ac:dyDescent="0.2"/>
    <row r="911" s="43" customFormat="1" ht="15.75" customHeight="1" x14ac:dyDescent="0.2"/>
    <row r="912" s="43" customFormat="1" ht="15.75" customHeight="1" x14ac:dyDescent="0.2"/>
    <row r="913" s="43" customFormat="1" ht="15.75" customHeight="1" x14ac:dyDescent="0.2"/>
    <row r="914" s="43" customFormat="1" ht="15.75" customHeight="1" x14ac:dyDescent="0.2"/>
    <row r="915" s="43" customFormat="1" ht="15.75" customHeight="1" x14ac:dyDescent="0.2"/>
    <row r="916" s="43" customFormat="1" ht="15.75" customHeight="1" x14ac:dyDescent="0.2"/>
    <row r="917" s="43" customFormat="1" ht="15.75" customHeight="1" x14ac:dyDescent="0.2"/>
    <row r="918" s="43" customFormat="1" ht="15.75" customHeight="1" x14ac:dyDescent="0.2"/>
    <row r="919" s="43" customFormat="1" ht="15.75" customHeight="1" x14ac:dyDescent="0.2"/>
    <row r="920" s="43" customFormat="1" ht="15.75" customHeight="1" x14ac:dyDescent="0.2"/>
    <row r="921" s="43" customFormat="1" ht="15.75" customHeight="1" x14ac:dyDescent="0.2"/>
    <row r="922" s="43" customFormat="1" ht="15.75" customHeight="1" x14ac:dyDescent="0.2"/>
    <row r="923" s="43" customFormat="1" ht="15.75" customHeight="1" x14ac:dyDescent="0.2"/>
    <row r="924" s="43" customFormat="1" ht="15.75" customHeight="1" x14ac:dyDescent="0.2"/>
    <row r="925" s="43" customFormat="1" ht="15.75" customHeight="1" x14ac:dyDescent="0.2"/>
    <row r="926" s="43" customFormat="1" ht="15.75" customHeight="1" x14ac:dyDescent="0.2"/>
    <row r="927" s="43" customFormat="1" ht="15.75" customHeight="1" x14ac:dyDescent="0.2"/>
    <row r="928" s="43" customFormat="1" ht="15.75" customHeight="1" x14ac:dyDescent="0.2"/>
    <row r="929" s="43" customFormat="1" ht="15.75" customHeight="1" x14ac:dyDescent="0.2"/>
    <row r="930" s="43" customFormat="1" ht="15.75" customHeight="1" x14ac:dyDescent="0.2"/>
    <row r="931" s="43" customFormat="1" ht="15.75" customHeight="1" x14ac:dyDescent="0.2"/>
    <row r="932" s="43" customFormat="1" ht="15.75" customHeight="1" x14ac:dyDescent="0.2"/>
    <row r="933" s="43" customFormat="1" ht="15.75" customHeight="1" x14ac:dyDescent="0.2"/>
    <row r="934" s="43" customFormat="1" ht="15.75" customHeight="1" x14ac:dyDescent="0.2"/>
    <row r="935" s="43" customFormat="1" ht="15.75" customHeight="1" x14ac:dyDescent="0.2"/>
    <row r="936" s="43" customFormat="1" ht="15.75" customHeight="1" x14ac:dyDescent="0.2"/>
    <row r="937" s="43" customFormat="1" ht="15.75" customHeight="1" x14ac:dyDescent="0.2"/>
    <row r="938" s="43" customFormat="1" ht="15.75" customHeight="1" x14ac:dyDescent="0.2"/>
    <row r="939" s="43" customFormat="1" ht="15.75" customHeight="1" x14ac:dyDescent="0.2"/>
    <row r="940" s="43" customFormat="1" ht="15.75" customHeight="1" x14ac:dyDescent="0.2"/>
    <row r="941" s="43" customFormat="1" ht="15.75" customHeight="1" x14ac:dyDescent="0.2"/>
    <row r="942" s="43" customFormat="1" ht="15.75" customHeight="1" x14ac:dyDescent="0.2"/>
    <row r="943" s="43" customFormat="1" ht="15.75" customHeight="1" x14ac:dyDescent="0.2"/>
    <row r="944" s="43" customFormat="1" ht="15.75" customHeight="1" x14ac:dyDescent="0.2"/>
    <row r="945" s="43" customFormat="1" ht="15.75" customHeight="1" x14ac:dyDescent="0.2"/>
    <row r="946" s="43" customFormat="1" ht="15.75" customHeight="1" x14ac:dyDescent="0.2"/>
    <row r="947" s="43" customFormat="1" ht="15.75" customHeight="1" x14ac:dyDescent="0.2"/>
    <row r="948" s="43" customFormat="1" ht="15.75" customHeight="1" x14ac:dyDescent="0.2"/>
    <row r="949" s="43" customFormat="1" ht="15.75" customHeight="1" x14ac:dyDescent="0.2"/>
    <row r="950" s="43" customFormat="1" ht="15.75" customHeight="1" x14ac:dyDescent="0.2"/>
    <row r="951" s="43" customFormat="1" ht="15.75" customHeight="1" x14ac:dyDescent="0.2"/>
    <row r="952" s="43" customFormat="1" ht="15.75" customHeight="1" x14ac:dyDescent="0.2"/>
    <row r="953" s="43" customFormat="1" ht="15.75" customHeight="1" x14ac:dyDescent="0.2"/>
    <row r="954" s="43" customFormat="1" ht="15.75" customHeight="1" x14ac:dyDescent="0.2"/>
    <row r="955" s="43" customFormat="1" ht="15.75" customHeight="1" x14ac:dyDescent="0.2"/>
    <row r="956" s="43" customFormat="1" ht="15.75" customHeight="1" x14ac:dyDescent="0.2"/>
    <row r="957" s="43" customFormat="1" ht="15.75" customHeight="1" x14ac:dyDescent="0.2"/>
    <row r="958" s="43" customFormat="1" ht="15.75" customHeight="1" x14ac:dyDescent="0.2"/>
    <row r="959" s="43" customFormat="1" ht="15.75" customHeight="1" x14ac:dyDescent="0.2"/>
    <row r="960" s="43" customFormat="1" ht="15.75" customHeight="1" x14ac:dyDescent="0.2"/>
    <row r="961" s="43" customFormat="1" ht="15.75" customHeight="1" x14ac:dyDescent="0.2"/>
    <row r="962" s="43" customFormat="1" ht="15.75" customHeight="1" x14ac:dyDescent="0.2"/>
    <row r="963" s="43" customFormat="1" ht="15.75" customHeight="1" x14ac:dyDescent="0.2"/>
    <row r="964" s="43" customFormat="1" ht="15.75" customHeight="1" x14ac:dyDescent="0.2"/>
    <row r="965" s="43" customFormat="1" ht="15.75" customHeight="1" x14ac:dyDescent="0.2"/>
    <row r="966" s="43" customFormat="1" ht="15.75" customHeight="1" x14ac:dyDescent="0.2"/>
    <row r="967" s="43" customFormat="1" ht="15.75" customHeight="1" x14ac:dyDescent="0.2"/>
    <row r="968" s="43" customFormat="1" ht="15.75" customHeight="1" x14ac:dyDescent="0.2"/>
    <row r="969" s="43" customFormat="1" ht="15.75" customHeight="1" x14ac:dyDescent="0.2"/>
    <row r="970" s="43" customFormat="1" ht="15.75" customHeight="1" x14ac:dyDescent="0.2"/>
    <row r="971" s="43" customFormat="1" ht="15.75" customHeight="1" x14ac:dyDescent="0.2"/>
    <row r="972" s="43" customFormat="1" ht="15.75" customHeight="1" x14ac:dyDescent="0.2"/>
    <row r="973" s="43" customFormat="1" ht="15.75" customHeight="1" x14ac:dyDescent="0.2"/>
    <row r="974" s="43" customFormat="1" ht="15.75" customHeight="1" x14ac:dyDescent="0.2"/>
    <row r="975" s="43" customFormat="1" ht="15.75" customHeight="1" x14ac:dyDescent="0.2"/>
    <row r="976" s="43" customFormat="1" ht="15.75" customHeight="1" x14ac:dyDescent="0.2"/>
    <row r="977" s="43" customFormat="1" ht="15.75" customHeight="1" x14ac:dyDescent="0.2"/>
    <row r="978" s="43" customFormat="1" ht="15.75" customHeight="1" x14ac:dyDescent="0.2"/>
    <row r="979" s="43" customFormat="1" ht="15.75" customHeight="1" x14ac:dyDescent="0.2"/>
    <row r="980" s="43" customFormat="1" ht="15.75" customHeight="1" x14ac:dyDescent="0.2"/>
    <row r="981" s="43" customFormat="1" ht="15.75" customHeight="1" x14ac:dyDescent="0.2"/>
    <row r="982" s="43" customFormat="1" ht="15.75" customHeight="1" x14ac:dyDescent="0.2"/>
    <row r="983" s="43" customFormat="1" ht="15.75" customHeight="1" x14ac:dyDescent="0.2"/>
    <row r="984" s="43" customFormat="1" ht="15.75" customHeight="1" x14ac:dyDescent="0.2"/>
    <row r="985" s="43" customFormat="1" ht="15.75" customHeight="1" x14ac:dyDescent="0.2"/>
    <row r="986" s="43" customFormat="1" ht="15.75" customHeight="1" x14ac:dyDescent="0.2"/>
    <row r="987" s="43" customFormat="1" ht="15.75" customHeight="1" x14ac:dyDescent="0.2"/>
    <row r="988" s="43" customFormat="1" ht="15.75" customHeight="1" x14ac:dyDescent="0.2"/>
    <row r="989" s="43" customFormat="1" ht="15.75" customHeight="1" x14ac:dyDescent="0.2"/>
    <row r="990" s="43" customFormat="1" ht="15.75" customHeight="1" x14ac:dyDescent="0.2"/>
    <row r="991" s="43" customFormat="1" ht="15.75" customHeight="1" x14ac:dyDescent="0.2"/>
    <row r="992" s="43" customFormat="1" ht="15.75" customHeight="1" x14ac:dyDescent="0.2"/>
    <row r="993" s="43" customFormat="1" ht="15.75" customHeight="1" x14ac:dyDescent="0.2"/>
    <row r="994" s="43" customFormat="1" ht="15.75" customHeight="1" x14ac:dyDescent="0.2"/>
    <row r="995" s="43" customFormat="1" ht="15.75" customHeight="1" x14ac:dyDescent="0.2"/>
    <row r="996" s="43" customFormat="1" ht="15.75" customHeight="1" x14ac:dyDescent="0.2"/>
    <row r="997" s="43" customFormat="1" ht="15.75" customHeight="1" x14ac:dyDescent="0.2"/>
    <row r="998" s="43" customFormat="1" ht="15.75" customHeight="1" x14ac:dyDescent="0.2"/>
    <row r="999" s="43" customFormat="1" ht="15.75" customHeight="1" x14ac:dyDescent="0.2"/>
    <row r="1000" s="43" customFormat="1" ht="15.75" customHeight="1" x14ac:dyDescent="0.2"/>
  </sheetData>
  <mergeCells count="1">
    <mergeCell ref="A1:C1"/>
  </mergeCells>
  <conditionalFormatting sqref="D3:D6">
    <cfRule type="expression" dxfId="2" priority="1">
      <formula>"max($D$3:$D$6)"</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EB4CC-76AE-4822-B9DD-416FFAAC8508}">
  <dimension ref="A2:I1006"/>
  <sheetViews>
    <sheetView workbookViewId="0">
      <selection activeCell="E25" sqref="E25"/>
    </sheetView>
  </sheetViews>
  <sheetFormatPr defaultColWidth="8.85546875" defaultRowHeight="15" x14ac:dyDescent="0.25"/>
  <cols>
    <col min="2" max="2" width="10.28515625" bestFit="1" customWidth="1"/>
    <col min="4" max="4" width="12.42578125" bestFit="1" customWidth="1"/>
    <col min="6" max="7" width="10.42578125" bestFit="1" customWidth="1"/>
    <col min="9" max="9" width="13.140625" bestFit="1" customWidth="1"/>
  </cols>
  <sheetData>
    <row r="2" spans="1:9" x14ac:dyDescent="0.25">
      <c r="B2" t="s">
        <v>99</v>
      </c>
      <c r="C2" t="s">
        <v>98</v>
      </c>
    </row>
    <row r="4" spans="1:9" x14ac:dyDescent="0.25">
      <c r="F4" s="5">
        <v>43343</v>
      </c>
    </row>
    <row r="5" spans="1:9" x14ac:dyDescent="0.25">
      <c r="F5" s="5">
        <v>43282</v>
      </c>
    </row>
    <row r="6" spans="1:9" x14ac:dyDescent="0.25">
      <c r="A6" s="42" t="s">
        <v>97</v>
      </c>
      <c r="B6" s="42" t="s">
        <v>51</v>
      </c>
      <c r="C6" s="42" t="s">
        <v>96</v>
      </c>
      <c r="D6" s="42" t="s">
        <v>95</v>
      </c>
      <c r="F6" s="42" t="s">
        <v>97</v>
      </c>
      <c r="G6" s="42" t="s">
        <v>51</v>
      </c>
      <c r="H6" s="42" t="s">
        <v>96</v>
      </c>
      <c r="I6" s="42" t="s">
        <v>95</v>
      </c>
    </row>
    <row r="7" spans="1:9" x14ac:dyDescent="0.25">
      <c r="A7">
        <v>70</v>
      </c>
      <c r="B7" s="5">
        <v>43263</v>
      </c>
      <c r="C7" t="s">
        <v>93</v>
      </c>
      <c r="D7" s="40">
        <v>1688</v>
      </c>
      <c r="F7" cm="1">
        <f t="array" ref="F7:F352">_xlfn._xlws.FILTER(_xlfn.CHOOSECOLS($A$7:$D$1006,MATCH(F$6,$A$6:$D$6,0)),($B$7:$B$1006&gt;=$F$5)*($B$7:$B$1006&lt;=$F$4),"Empty")</f>
        <v>339</v>
      </c>
      <c r="G7" s="41" cm="1">
        <f t="array" ref="G7:G352">_xlfn._xlws.FILTER(_xlfn.CHOOSECOLS($A$7:$D$1006,MATCH(G$6,$A$6:$D$6,0)),($B$7:$B$1006&gt;=$F$5)*($B$7:$B$1006&lt;=$F$4),"Empty")</f>
        <v>43307</v>
      </c>
      <c r="H7" t="str" cm="1">
        <f t="array" ref="H7:H352">_xlfn._xlws.FILTER(_xlfn.CHOOSECOLS($A$7:$D$1006,MATCH(H$6,$A$6:$D$6,0)),($B$7:$B$1006&gt;=$F$5)*($B$7:$B$1006&lt;=$F$4),"Empty")</f>
        <v>NY</v>
      </c>
      <c r="I7" cm="1">
        <f t="array" ref="I7:I352">_xlfn._xlws.FILTER(_xlfn.CHOOSECOLS($A$7:$D$1006,MATCH(I$6,$A$6:$D$6,0)),($B$7:$B$1006&gt;=$F$5)*($B$7:$B$1006&lt;=$F$4),"Empty")</f>
        <v>689</v>
      </c>
    </row>
    <row r="8" spans="1:9" x14ac:dyDescent="0.25">
      <c r="A8">
        <v>128</v>
      </c>
      <c r="B8" s="5">
        <v>43272</v>
      </c>
      <c r="C8" t="s">
        <v>93</v>
      </c>
      <c r="D8" s="40">
        <v>607</v>
      </c>
      <c r="F8">
        <v>508</v>
      </c>
      <c r="G8" s="41">
        <v>43339</v>
      </c>
      <c r="H8" t="str">
        <v>TX</v>
      </c>
      <c r="I8">
        <v>1758</v>
      </c>
    </row>
    <row r="9" spans="1:9" x14ac:dyDescent="0.25">
      <c r="A9">
        <v>693</v>
      </c>
      <c r="B9" s="5">
        <v>43378</v>
      </c>
      <c r="C9" t="s">
        <v>93</v>
      </c>
      <c r="D9" s="40">
        <v>1667</v>
      </c>
      <c r="F9">
        <v>204</v>
      </c>
      <c r="G9" s="41">
        <v>43286</v>
      </c>
      <c r="H9" t="str">
        <v>NY</v>
      </c>
      <c r="I9">
        <v>1410</v>
      </c>
    </row>
    <row r="10" spans="1:9" x14ac:dyDescent="0.25">
      <c r="A10">
        <v>18</v>
      </c>
      <c r="B10" s="5">
        <v>43254</v>
      </c>
      <c r="C10" t="s">
        <v>94</v>
      </c>
      <c r="D10" s="40">
        <v>1920</v>
      </c>
      <c r="F10">
        <v>314</v>
      </c>
      <c r="G10" s="41">
        <v>43303</v>
      </c>
      <c r="H10" t="str">
        <v>CA</v>
      </c>
      <c r="I10">
        <v>731</v>
      </c>
    </row>
    <row r="11" spans="1:9" x14ac:dyDescent="0.25">
      <c r="A11">
        <v>339</v>
      </c>
      <c r="B11" s="5">
        <v>43307</v>
      </c>
      <c r="C11" t="s">
        <v>93</v>
      </c>
      <c r="D11" s="40">
        <v>689</v>
      </c>
      <c r="F11">
        <v>300</v>
      </c>
      <c r="G11" s="41">
        <v>43301</v>
      </c>
      <c r="H11" t="str">
        <v>CA</v>
      </c>
      <c r="I11">
        <v>678</v>
      </c>
    </row>
    <row r="12" spans="1:9" x14ac:dyDescent="0.25">
      <c r="A12">
        <v>553</v>
      </c>
      <c r="B12" s="5">
        <v>43348</v>
      </c>
      <c r="C12" t="s">
        <v>94</v>
      </c>
      <c r="D12" s="40">
        <v>1687</v>
      </c>
      <c r="F12">
        <v>248</v>
      </c>
      <c r="G12" s="41">
        <v>43293</v>
      </c>
      <c r="H12" t="str">
        <v>NY</v>
      </c>
      <c r="I12">
        <v>1214</v>
      </c>
    </row>
    <row r="13" spans="1:9" x14ac:dyDescent="0.25">
      <c r="A13">
        <v>508</v>
      </c>
      <c r="B13" s="5">
        <v>43339</v>
      </c>
      <c r="C13" t="s">
        <v>94</v>
      </c>
      <c r="D13" s="40">
        <v>1758</v>
      </c>
      <c r="F13">
        <v>319</v>
      </c>
      <c r="G13" s="41">
        <v>43304</v>
      </c>
      <c r="H13" t="str">
        <v>CA</v>
      </c>
      <c r="I13">
        <v>737</v>
      </c>
    </row>
    <row r="14" spans="1:9" x14ac:dyDescent="0.25">
      <c r="A14">
        <v>204</v>
      </c>
      <c r="B14" s="5">
        <v>43286</v>
      </c>
      <c r="C14" t="s">
        <v>93</v>
      </c>
      <c r="D14" s="40">
        <v>1410</v>
      </c>
      <c r="F14">
        <v>518</v>
      </c>
      <c r="G14" s="41">
        <v>43342</v>
      </c>
      <c r="H14" t="str">
        <v>CA</v>
      </c>
      <c r="I14">
        <v>688</v>
      </c>
    </row>
    <row r="15" spans="1:9" x14ac:dyDescent="0.25">
      <c r="A15">
        <v>314</v>
      </c>
      <c r="B15" s="5">
        <v>43303</v>
      </c>
      <c r="C15" t="s">
        <v>92</v>
      </c>
      <c r="D15" s="40">
        <v>731</v>
      </c>
      <c r="F15">
        <v>265</v>
      </c>
      <c r="G15" s="41">
        <v>43296</v>
      </c>
      <c r="H15" t="str">
        <v>CA</v>
      </c>
      <c r="I15">
        <v>1594</v>
      </c>
    </row>
    <row r="16" spans="1:9" x14ac:dyDescent="0.25">
      <c r="A16">
        <v>300</v>
      </c>
      <c r="B16" s="5">
        <v>43301</v>
      </c>
      <c r="C16" t="s">
        <v>92</v>
      </c>
      <c r="D16" s="40">
        <v>678</v>
      </c>
      <c r="F16">
        <v>372</v>
      </c>
      <c r="G16" s="41">
        <v>43314</v>
      </c>
      <c r="H16" t="str">
        <v>CA</v>
      </c>
      <c r="I16">
        <v>1522</v>
      </c>
    </row>
    <row r="17" spans="1:9" x14ac:dyDescent="0.25">
      <c r="A17">
        <v>823</v>
      </c>
      <c r="B17" s="5">
        <v>43403</v>
      </c>
      <c r="C17" t="s">
        <v>93</v>
      </c>
      <c r="D17" s="40">
        <v>1297</v>
      </c>
      <c r="F17">
        <v>206</v>
      </c>
      <c r="G17" s="41">
        <v>43286</v>
      </c>
      <c r="H17" t="str">
        <v>TX</v>
      </c>
      <c r="I17">
        <v>594</v>
      </c>
    </row>
    <row r="18" spans="1:9" x14ac:dyDescent="0.25">
      <c r="A18">
        <v>248</v>
      </c>
      <c r="B18" s="5">
        <v>43293</v>
      </c>
      <c r="C18" t="s">
        <v>93</v>
      </c>
      <c r="D18" s="40">
        <v>1214</v>
      </c>
      <c r="F18">
        <v>276</v>
      </c>
      <c r="G18" s="41">
        <v>43296</v>
      </c>
      <c r="H18" t="str">
        <v>TX</v>
      </c>
      <c r="I18">
        <v>549</v>
      </c>
    </row>
    <row r="19" spans="1:9" x14ac:dyDescent="0.25">
      <c r="A19">
        <v>319</v>
      </c>
      <c r="B19" s="5">
        <v>43304</v>
      </c>
      <c r="C19" t="s">
        <v>92</v>
      </c>
      <c r="D19" s="40">
        <v>737</v>
      </c>
      <c r="F19">
        <v>490</v>
      </c>
      <c r="G19" s="41">
        <v>43335</v>
      </c>
      <c r="H19" t="str">
        <v>CA</v>
      </c>
      <c r="I19">
        <v>1216</v>
      </c>
    </row>
    <row r="20" spans="1:9" x14ac:dyDescent="0.25">
      <c r="A20">
        <v>518</v>
      </c>
      <c r="B20" s="5">
        <v>43342</v>
      </c>
      <c r="C20" t="s">
        <v>92</v>
      </c>
      <c r="D20" s="40">
        <v>688</v>
      </c>
      <c r="F20">
        <v>356</v>
      </c>
      <c r="G20" s="41">
        <v>43311</v>
      </c>
      <c r="H20" t="str">
        <v>TX</v>
      </c>
      <c r="I20">
        <v>1780</v>
      </c>
    </row>
    <row r="21" spans="1:9" x14ac:dyDescent="0.25">
      <c r="A21">
        <v>978</v>
      </c>
      <c r="B21" s="5">
        <v>43431</v>
      </c>
      <c r="C21" t="s">
        <v>94</v>
      </c>
      <c r="D21" s="40">
        <v>1596</v>
      </c>
      <c r="F21">
        <v>179</v>
      </c>
      <c r="G21" s="41">
        <v>43282</v>
      </c>
      <c r="H21" t="str">
        <v>CA</v>
      </c>
      <c r="I21">
        <v>1370</v>
      </c>
    </row>
    <row r="22" spans="1:9" x14ac:dyDescent="0.25">
      <c r="A22">
        <v>265</v>
      </c>
      <c r="B22" s="5">
        <v>43296</v>
      </c>
      <c r="C22" t="s">
        <v>92</v>
      </c>
      <c r="D22" s="40">
        <v>1594</v>
      </c>
      <c r="F22">
        <v>350</v>
      </c>
      <c r="G22" s="41">
        <v>43310</v>
      </c>
      <c r="H22" t="str">
        <v>NY</v>
      </c>
      <c r="I22">
        <v>757</v>
      </c>
    </row>
    <row r="23" spans="1:9" x14ac:dyDescent="0.25">
      <c r="A23">
        <v>700</v>
      </c>
      <c r="B23" s="5">
        <v>43380</v>
      </c>
      <c r="C23" t="s">
        <v>93</v>
      </c>
      <c r="D23" s="40">
        <v>847</v>
      </c>
      <c r="F23">
        <v>217</v>
      </c>
      <c r="G23" s="41">
        <v>43287</v>
      </c>
      <c r="H23" t="str">
        <v>CA</v>
      </c>
      <c r="I23">
        <v>1750</v>
      </c>
    </row>
    <row r="24" spans="1:9" x14ac:dyDescent="0.25">
      <c r="A24">
        <v>929</v>
      </c>
      <c r="B24" s="5">
        <v>43422</v>
      </c>
      <c r="C24" t="s">
        <v>93</v>
      </c>
      <c r="D24" s="40">
        <v>1101</v>
      </c>
      <c r="F24">
        <v>240</v>
      </c>
      <c r="G24" s="41">
        <v>43291</v>
      </c>
      <c r="H24" t="str">
        <v>CA</v>
      </c>
      <c r="I24">
        <v>1793</v>
      </c>
    </row>
    <row r="25" spans="1:9" x14ac:dyDescent="0.25">
      <c r="A25">
        <v>801</v>
      </c>
      <c r="B25" s="5">
        <v>43398</v>
      </c>
      <c r="C25" t="s">
        <v>93</v>
      </c>
      <c r="D25" s="40">
        <v>1302</v>
      </c>
      <c r="F25">
        <v>516</v>
      </c>
      <c r="G25" s="41">
        <v>43341</v>
      </c>
      <c r="H25" t="str">
        <v>NY</v>
      </c>
      <c r="I25">
        <v>895</v>
      </c>
    </row>
    <row r="26" spans="1:9" x14ac:dyDescent="0.25">
      <c r="A26">
        <v>991</v>
      </c>
      <c r="B26" s="5">
        <v>43433</v>
      </c>
      <c r="C26" t="s">
        <v>92</v>
      </c>
      <c r="D26" s="40">
        <v>882</v>
      </c>
      <c r="F26">
        <v>521</v>
      </c>
      <c r="G26" s="41">
        <v>43343</v>
      </c>
      <c r="H26" t="str">
        <v>CA</v>
      </c>
      <c r="I26">
        <v>1489</v>
      </c>
    </row>
    <row r="27" spans="1:9" x14ac:dyDescent="0.25">
      <c r="A27">
        <v>581</v>
      </c>
      <c r="B27" s="5">
        <v>43353</v>
      </c>
      <c r="C27" t="s">
        <v>93</v>
      </c>
      <c r="D27" s="40">
        <v>832</v>
      </c>
      <c r="F27">
        <v>488</v>
      </c>
      <c r="G27" s="41">
        <v>43335</v>
      </c>
      <c r="H27" t="str">
        <v>NY</v>
      </c>
      <c r="I27">
        <v>587</v>
      </c>
    </row>
    <row r="28" spans="1:9" x14ac:dyDescent="0.25">
      <c r="A28">
        <v>737</v>
      </c>
      <c r="B28" s="5">
        <v>43386</v>
      </c>
      <c r="C28" t="s">
        <v>94</v>
      </c>
      <c r="D28" s="40">
        <v>1836</v>
      </c>
      <c r="F28">
        <v>389</v>
      </c>
      <c r="G28" s="41">
        <v>43317</v>
      </c>
      <c r="H28" t="str">
        <v>NY</v>
      </c>
      <c r="I28">
        <v>1522</v>
      </c>
    </row>
    <row r="29" spans="1:9" x14ac:dyDescent="0.25">
      <c r="A29">
        <v>372</v>
      </c>
      <c r="B29" s="5">
        <v>43314</v>
      </c>
      <c r="C29" t="s">
        <v>92</v>
      </c>
      <c r="D29" s="40">
        <v>1522</v>
      </c>
      <c r="F29">
        <v>480</v>
      </c>
      <c r="G29" s="41">
        <v>43334</v>
      </c>
      <c r="H29" t="str">
        <v>NY</v>
      </c>
      <c r="I29">
        <v>1019</v>
      </c>
    </row>
    <row r="30" spans="1:9" x14ac:dyDescent="0.25">
      <c r="A30">
        <v>206</v>
      </c>
      <c r="B30" s="5">
        <v>43286</v>
      </c>
      <c r="C30" t="s">
        <v>94</v>
      </c>
      <c r="D30" s="40">
        <v>594</v>
      </c>
      <c r="F30">
        <v>506</v>
      </c>
      <c r="G30" s="41">
        <v>43339</v>
      </c>
      <c r="H30" t="str">
        <v>NY</v>
      </c>
      <c r="I30">
        <v>1519</v>
      </c>
    </row>
    <row r="31" spans="1:9" x14ac:dyDescent="0.25">
      <c r="A31">
        <v>276</v>
      </c>
      <c r="B31" s="5">
        <v>43296</v>
      </c>
      <c r="C31" t="s">
        <v>94</v>
      </c>
      <c r="D31" s="40">
        <v>549</v>
      </c>
      <c r="F31">
        <v>258</v>
      </c>
      <c r="G31" s="41">
        <v>43294</v>
      </c>
      <c r="H31" t="str">
        <v>TX</v>
      </c>
      <c r="I31">
        <v>1720</v>
      </c>
    </row>
    <row r="32" spans="1:9" x14ac:dyDescent="0.25">
      <c r="A32">
        <v>876</v>
      </c>
      <c r="B32" s="5">
        <v>43414</v>
      </c>
      <c r="C32" t="s">
        <v>94</v>
      </c>
      <c r="D32" s="40">
        <v>817</v>
      </c>
      <c r="F32">
        <v>338</v>
      </c>
      <c r="G32" s="41">
        <v>43307</v>
      </c>
      <c r="H32" t="str">
        <v>TX</v>
      </c>
      <c r="I32">
        <v>985</v>
      </c>
    </row>
    <row r="33" spans="1:9" x14ac:dyDescent="0.25">
      <c r="A33">
        <v>937</v>
      </c>
      <c r="B33" s="5">
        <v>43423</v>
      </c>
      <c r="C33" t="s">
        <v>94</v>
      </c>
      <c r="D33" s="40">
        <v>1554</v>
      </c>
      <c r="F33">
        <v>469</v>
      </c>
      <c r="G33" s="41">
        <v>43332</v>
      </c>
      <c r="H33" t="str">
        <v>NY</v>
      </c>
      <c r="I33">
        <v>1985</v>
      </c>
    </row>
    <row r="34" spans="1:9" x14ac:dyDescent="0.25">
      <c r="A34">
        <v>490</v>
      </c>
      <c r="B34" s="5">
        <v>43335</v>
      </c>
      <c r="C34" t="s">
        <v>92</v>
      </c>
      <c r="D34" s="40">
        <v>1216</v>
      </c>
      <c r="F34">
        <v>301</v>
      </c>
      <c r="G34" s="41">
        <v>43301</v>
      </c>
      <c r="H34" t="str">
        <v>CA</v>
      </c>
      <c r="I34">
        <v>788</v>
      </c>
    </row>
    <row r="35" spans="1:9" x14ac:dyDescent="0.25">
      <c r="A35">
        <v>356</v>
      </c>
      <c r="B35" s="5">
        <v>43311</v>
      </c>
      <c r="C35" t="s">
        <v>94</v>
      </c>
      <c r="D35" s="40">
        <v>1780</v>
      </c>
      <c r="F35">
        <v>274</v>
      </c>
      <c r="G35" s="41">
        <v>43296</v>
      </c>
      <c r="H35" t="str">
        <v>NY</v>
      </c>
      <c r="I35">
        <v>1150</v>
      </c>
    </row>
    <row r="36" spans="1:9" x14ac:dyDescent="0.25">
      <c r="A36">
        <v>942</v>
      </c>
      <c r="B36" s="5">
        <v>43424</v>
      </c>
      <c r="C36" t="s">
        <v>92</v>
      </c>
      <c r="D36" s="40">
        <v>1428</v>
      </c>
      <c r="F36">
        <v>373</v>
      </c>
      <c r="G36" s="41">
        <v>43314</v>
      </c>
      <c r="H36" t="str">
        <v>TX</v>
      </c>
      <c r="I36">
        <v>1382</v>
      </c>
    </row>
    <row r="37" spans="1:9" x14ac:dyDescent="0.25">
      <c r="A37">
        <v>179</v>
      </c>
      <c r="B37" s="5">
        <v>43282</v>
      </c>
      <c r="C37" t="s">
        <v>92</v>
      </c>
      <c r="D37" s="40">
        <v>1370</v>
      </c>
      <c r="F37">
        <v>515</v>
      </c>
      <c r="G37" s="41">
        <v>43341</v>
      </c>
      <c r="H37" t="str">
        <v>NY</v>
      </c>
      <c r="I37">
        <v>1138</v>
      </c>
    </row>
    <row r="38" spans="1:9" x14ac:dyDescent="0.25">
      <c r="A38">
        <v>717</v>
      </c>
      <c r="B38" s="5">
        <v>43383</v>
      </c>
      <c r="C38" t="s">
        <v>93</v>
      </c>
      <c r="D38" s="40">
        <v>645</v>
      </c>
      <c r="F38">
        <v>282</v>
      </c>
      <c r="G38" s="41">
        <v>43298</v>
      </c>
      <c r="H38" t="str">
        <v>CA</v>
      </c>
      <c r="I38">
        <v>813</v>
      </c>
    </row>
    <row r="39" spans="1:9" x14ac:dyDescent="0.25">
      <c r="A39">
        <v>835</v>
      </c>
      <c r="B39" s="5">
        <v>43407</v>
      </c>
      <c r="C39" t="s">
        <v>94</v>
      </c>
      <c r="D39" s="40">
        <v>771</v>
      </c>
      <c r="F39">
        <v>355</v>
      </c>
      <c r="G39" s="41">
        <v>43311</v>
      </c>
      <c r="H39" t="str">
        <v>NY</v>
      </c>
      <c r="I39">
        <v>1647</v>
      </c>
    </row>
    <row r="40" spans="1:9" x14ac:dyDescent="0.25">
      <c r="A40">
        <v>973</v>
      </c>
      <c r="B40" s="5">
        <v>43431</v>
      </c>
      <c r="C40" t="s">
        <v>92</v>
      </c>
      <c r="D40" s="40">
        <v>1224</v>
      </c>
      <c r="F40">
        <v>260</v>
      </c>
      <c r="G40" s="41">
        <v>43295</v>
      </c>
      <c r="H40" t="str">
        <v>TX</v>
      </c>
      <c r="I40">
        <v>815</v>
      </c>
    </row>
    <row r="41" spans="1:9" x14ac:dyDescent="0.25">
      <c r="A41">
        <v>769</v>
      </c>
      <c r="B41" s="5">
        <v>43392</v>
      </c>
      <c r="C41" t="s">
        <v>92</v>
      </c>
      <c r="D41" s="40">
        <v>1960</v>
      </c>
      <c r="F41">
        <v>199</v>
      </c>
      <c r="G41" s="41">
        <v>43284</v>
      </c>
      <c r="H41" t="str">
        <v>CA</v>
      </c>
      <c r="I41">
        <v>1994</v>
      </c>
    </row>
    <row r="42" spans="1:9" x14ac:dyDescent="0.25">
      <c r="A42">
        <v>350</v>
      </c>
      <c r="B42" s="5">
        <v>43310</v>
      </c>
      <c r="C42" t="s">
        <v>93</v>
      </c>
      <c r="D42" s="40">
        <v>757</v>
      </c>
      <c r="F42">
        <v>477</v>
      </c>
      <c r="G42" s="41">
        <v>43333</v>
      </c>
      <c r="H42" t="str">
        <v>TX</v>
      </c>
      <c r="I42">
        <v>1919</v>
      </c>
    </row>
    <row r="43" spans="1:9" x14ac:dyDescent="0.25">
      <c r="A43">
        <v>217</v>
      </c>
      <c r="B43" s="5">
        <v>43287</v>
      </c>
      <c r="C43" t="s">
        <v>92</v>
      </c>
      <c r="D43" s="40">
        <v>1750</v>
      </c>
      <c r="F43">
        <v>511</v>
      </c>
      <c r="G43" s="41">
        <v>43339</v>
      </c>
      <c r="H43" t="str">
        <v>NY</v>
      </c>
      <c r="I43">
        <v>876</v>
      </c>
    </row>
    <row r="44" spans="1:9" x14ac:dyDescent="0.25">
      <c r="A44">
        <v>240</v>
      </c>
      <c r="B44" s="5">
        <v>43291</v>
      </c>
      <c r="C44" t="s">
        <v>92</v>
      </c>
      <c r="D44" s="40">
        <v>1793</v>
      </c>
      <c r="F44">
        <v>250</v>
      </c>
      <c r="G44" s="41">
        <v>43293</v>
      </c>
      <c r="H44" t="str">
        <v>NY</v>
      </c>
      <c r="I44">
        <v>1250</v>
      </c>
    </row>
    <row r="45" spans="1:9" x14ac:dyDescent="0.25">
      <c r="A45">
        <v>40</v>
      </c>
      <c r="B45" s="5">
        <v>43257</v>
      </c>
      <c r="C45" t="s">
        <v>94</v>
      </c>
      <c r="D45" s="40">
        <v>605</v>
      </c>
      <c r="F45">
        <v>331</v>
      </c>
      <c r="G45" s="41">
        <v>43306</v>
      </c>
      <c r="H45" t="str">
        <v>CA</v>
      </c>
      <c r="I45">
        <v>1088</v>
      </c>
    </row>
    <row r="46" spans="1:9" x14ac:dyDescent="0.25">
      <c r="A46">
        <v>664</v>
      </c>
      <c r="B46" s="5">
        <v>43369</v>
      </c>
      <c r="C46" t="s">
        <v>92</v>
      </c>
      <c r="D46" s="40">
        <v>568</v>
      </c>
      <c r="F46">
        <v>244</v>
      </c>
      <c r="G46" s="41">
        <v>43292</v>
      </c>
      <c r="H46" t="str">
        <v>CA</v>
      </c>
      <c r="I46">
        <v>1974</v>
      </c>
    </row>
    <row r="47" spans="1:9" x14ac:dyDescent="0.25">
      <c r="A47">
        <v>516</v>
      </c>
      <c r="B47" s="5">
        <v>43341</v>
      </c>
      <c r="C47" t="s">
        <v>93</v>
      </c>
      <c r="D47" s="40">
        <v>895</v>
      </c>
      <c r="F47">
        <v>214</v>
      </c>
      <c r="G47" s="41">
        <v>43287</v>
      </c>
      <c r="H47" t="str">
        <v>NY</v>
      </c>
      <c r="I47">
        <v>1314</v>
      </c>
    </row>
    <row r="48" spans="1:9" x14ac:dyDescent="0.25">
      <c r="A48">
        <v>863</v>
      </c>
      <c r="B48" s="5">
        <v>43411</v>
      </c>
      <c r="C48" t="s">
        <v>92</v>
      </c>
      <c r="D48" s="40">
        <v>846</v>
      </c>
      <c r="F48">
        <v>463</v>
      </c>
      <c r="G48" s="41">
        <v>43332</v>
      </c>
      <c r="H48" t="str">
        <v>NY</v>
      </c>
      <c r="I48">
        <v>924</v>
      </c>
    </row>
    <row r="49" spans="1:9" x14ac:dyDescent="0.25">
      <c r="A49">
        <v>521</v>
      </c>
      <c r="B49" s="5">
        <v>43343</v>
      </c>
      <c r="C49" t="s">
        <v>92</v>
      </c>
      <c r="D49" s="40">
        <v>1489</v>
      </c>
      <c r="F49">
        <v>388</v>
      </c>
      <c r="G49" s="41">
        <v>43317</v>
      </c>
      <c r="H49" t="str">
        <v>TX</v>
      </c>
      <c r="I49">
        <v>1065</v>
      </c>
    </row>
    <row r="50" spans="1:9" x14ac:dyDescent="0.25">
      <c r="A50">
        <v>831</v>
      </c>
      <c r="B50" s="5">
        <v>43405</v>
      </c>
      <c r="C50" t="s">
        <v>92</v>
      </c>
      <c r="D50" s="40">
        <v>1035</v>
      </c>
      <c r="F50">
        <v>185</v>
      </c>
      <c r="G50" s="41">
        <v>43283</v>
      </c>
      <c r="H50" t="str">
        <v>NY</v>
      </c>
      <c r="I50">
        <v>1745</v>
      </c>
    </row>
    <row r="51" spans="1:9" x14ac:dyDescent="0.25">
      <c r="A51">
        <v>62</v>
      </c>
      <c r="B51" s="5">
        <v>43261</v>
      </c>
      <c r="C51" t="s">
        <v>94</v>
      </c>
      <c r="D51" s="40">
        <v>1052</v>
      </c>
      <c r="F51">
        <v>289</v>
      </c>
      <c r="G51" s="41">
        <v>43299</v>
      </c>
      <c r="H51" t="str">
        <v>NY</v>
      </c>
      <c r="I51">
        <v>1642</v>
      </c>
    </row>
    <row r="52" spans="1:9" x14ac:dyDescent="0.25">
      <c r="A52">
        <v>951</v>
      </c>
      <c r="B52" s="5">
        <v>43426</v>
      </c>
      <c r="C52" t="s">
        <v>94</v>
      </c>
      <c r="D52" s="40">
        <v>1856</v>
      </c>
      <c r="F52">
        <v>278</v>
      </c>
      <c r="G52" s="41">
        <v>43297</v>
      </c>
      <c r="H52" t="str">
        <v>CA</v>
      </c>
      <c r="I52">
        <v>1108</v>
      </c>
    </row>
    <row r="53" spans="1:9" x14ac:dyDescent="0.25">
      <c r="A53">
        <v>488</v>
      </c>
      <c r="B53" s="5">
        <v>43335</v>
      </c>
      <c r="C53" t="s">
        <v>93</v>
      </c>
      <c r="D53" s="40">
        <v>587</v>
      </c>
      <c r="F53">
        <v>417</v>
      </c>
      <c r="G53" s="41">
        <v>43323</v>
      </c>
      <c r="H53" t="str">
        <v>CA</v>
      </c>
      <c r="I53">
        <v>953</v>
      </c>
    </row>
    <row r="54" spans="1:9" x14ac:dyDescent="0.25">
      <c r="A54">
        <v>580</v>
      </c>
      <c r="B54" s="5">
        <v>43353</v>
      </c>
      <c r="C54" t="s">
        <v>92</v>
      </c>
      <c r="D54" s="40">
        <v>1081</v>
      </c>
      <c r="F54">
        <v>181</v>
      </c>
      <c r="G54" s="41">
        <v>43282</v>
      </c>
      <c r="H54" t="str">
        <v>CA</v>
      </c>
      <c r="I54">
        <v>1882</v>
      </c>
    </row>
    <row r="55" spans="1:9" x14ac:dyDescent="0.25">
      <c r="A55">
        <v>389</v>
      </c>
      <c r="B55" s="5">
        <v>43317</v>
      </c>
      <c r="C55" t="s">
        <v>93</v>
      </c>
      <c r="D55" s="40">
        <v>1522</v>
      </c>
      <c r="F55">
        <v>253</v>
      </c>
      <c r="G55" s="41">
        <v>43294</v>
      </c>
      <c r="H55" t="str">
        <v>CA</v>
      </c>
      <c r="I55">
        <v>1049</v>
      </c>
    </row>
    <row r="56" spans="1:9" x14ac:dyDescent="0.25">
      <c r="A56">
        <v>480</v>
      </c>
      <c r="B56" s="5">
        <v>43334</v>
      </c>
      <c r="C56" t="s">
        <v>93</v>
      </c>
      <c r="D56" s="40">
        <v>1019</v>
      </c>
      <c r="F56">
        <v>287</v>
      </c>
      <c r="G56" s="41">
        <v>43298</v>
      </c>
      <c r="H56" t="str">
        <v>TX</v>
      </c>
      <c r="I56">
        <v>728</v>
      </c>
    </row>
    <row r="57" spans="1:9" x14ac:dyDescent="0.25">
      <c r="A57">
        <v>670</v>
      </c>
      <c r="B57" s="5">
        <v>43370</v>
      </c>
      <c r="C57" t="s">
        <v>92</v>
      </c>
      <c r="D57" s="40">
        <v>1551</v>
      </c>
      <c r="F57">
        <v>228</v>
      </c>
      <c r="G57" s="41">
        <v>43289</v>
      </c>
      <c r="H57" t="str">
        <v>TX</v>
      </c>
      <c r="I57">
        <v>568</v>
      </c>
    </row>
    <row r="58" spans="1:9" x14ac:dyDescent="0.25">
      <c r="A58">
        <v>677</v>
      </c>
      <c r="B58" s="5">
        <v>43373</v>
      </c>
      <c r="C58" t="s">
        <v>93</v>
      </c>
      <c r="D58" s="40">
        <v>1692</v>
      </c>
      <c r="F58">
        <v>524</v>
      </c>
      <c r="G58" s="41">
        <v>43343</v>
      </c>
      <c r="H58" t="str">
        <v>CA</v>
      </c>
      <c r="I58">
        <v>951</v>
      </c>
    </row>
    <row r="59" spans="1:9" x14ac:dyDescent="0.25">
      <c r="A59">
        <v>129</v>
      </c>
      <c r="B59" s="5">
        <v>43272</v>
      </c>
      <c r="C59" t="s">
        <v>92</v>
      </c>
      <c r="D59" s="40">
        <v>1819</v>
      </c>
      <c r="F59">
        <v>283</v>
      </c>
      <c r="G59" s="41">
        <v>43298</v>
      </c>
      <c r="H59" t="str">
        <v>TX</v>
      </c>
      <c r="I59">
        <v>1936</v>
      </c>
    </row>
    <row r="60" spans="1:9" x14ac:dyDescent="0.25">
      <c r="A60">
        <v>705</v>
      </c>
      <c r="B60" s="5">
        <v>43381</v>
      </c>
      <c r="C60" t="s">
        <v>93</v>
      </c>
      <c r="D60" s="40">
        <v>1103</v>
      </c>
      <c r="F60">
        <v>291</v>
      </c>
      <c r="G60" s="41">
        <v>43299</v>
      </c>
      <c r="H60" t="str">
        <v>CA</v>
      </c>
      <c r="I60">
        <v>577</v>
      </c>
    </row>
    <row r="61" spans="1:9" x14ac:dyDescent="0.25">
      <c r="A61">
        <v>14</v>
      </c>
      <c r="B61" s="5">
        <v>43254</v>
      </c>
      <c r="C61" t="s">
        <v>93</v>
      </c>
      <c r="D61" s="40">
        <v>1270</v>
      </c>
      <c r="F61">
        <v>443</v>
      </c>
      <c r="G61" s="41">
        <v>43328</v>
      </c>
      <c r="H61" t="str">
        <v>CA</v>
      </c>
      <c r="I61">
        <v>727</v>
      </c>
    </row>
    <row r="62" spans="1:9" x14ac:dyDescent="0.25">
      <c r="A62">
        <v>178</v>
      </c>
      <c r="B62" s="5">
        <v>43281</v>
      </c>
      <c r="C62" t="s">
        <v>92</v>
      </c>
      <c r="D62" s="40">
        <v>843</v>
      </c>
      <c r="F62">
        <v>438</v>
      </c>
      <c r="G62" s="41">
        <v>43327</v>
      </c>
      <c r="H62" t="str">
        <v>CA</v>
      </c>
      <c r="I62">
        <v>1133</v>
      </c>
    </row>
    <row r="63" spans="1:9" x14ac:dyDescent="0.25">
      <c r="A63">
        <v>718</v>
      </c>
      <c r="B63" s="5">
        <v>43383</v>
      </c>
      <c r="C63" t="s">
        <v>92</v>
      </c>
      <c r="D63" s="40">
        <v>1190</v>
      </c>
      <c r="F63">
        <v>210</v>
      </c>
      <c r="G63" s="41">
        <v>43286</v>
      </c>
      <c r="H63" t="str">
        <v>TX</v>
      </c>
      <c r="I63">
        <v>564</v>
      </c>
    </row>
    <row r="64" spans="1:9" x14ac:dyDescent="0.25">
      <c r="A64">
        <v>607</v>
      </c>
      <c r="B64" s="5">
        <v>43358</v>
      </c>
      <c r="C64" t="s">
        <v>92</v>
      </c>
      <c r="D64" s="40">
        <v>1185</v>
      </c>
      <c r="F64">
        <v>523</v>
      </c>
      <c r="G64" s="41">
        <v>43343</v>
      </c>
      <c r="H64" t="str">
        <v>NY</v>
      </c>
      <c r="I64">
        <v>719</v>
      </c>
    </row>
    <row r="65" spans="1:9" x14ac:dyDescent="0.25">
      <c r="A65">
        <v>927</v>
      </c>
      <c r="B65" s="5">
        <v>43422</v>
      </c>
      <c r="C65" t="s">
        <v>94</v>
      </c>
      <c r="D65" s="40">
        <v>1204</v>
      </c>
      <c r="F65">
        <v>485</v>
      </c>
      <c r="G65" s="41">
        <v>43334</v>
      </c>
      <c r="H65" t="str">
        <v>TX</v>
      </c>
      <c r="I65">
        <v>983</v>
      </c>
    </row>
    <row r="66" spans="1:9" x14ac:dyDescent="0.25">
      <c r="A66">
        <v>506</v>
      </c>
      <c r="B66" s="5">
        <v>43339</v>
      </c>
      <c r="C66" t="s">
        <v>93</v>
      </c>
      <c r="D66" s="40">
        <v>1519</v>
      </c>
      <c r="F66">
        <v>334</v>
      </c>
      <c r="G66" s="41">
        <v>43307</v>
      </c>
      <c r="H66" t="str">
        <v>CA</v>
      </c>
      <c r="I66">
        <v>774</v>
      </c>
    </row>
    <row r="67" spans="1:9" x14ac:dyDescent="0.25">
      <c r="A67">
        <v>587</v>
      </c>
      <c r="B67" s="5">
        <v>43355</v>
      </c>
      <c r="C67" t="s">
        <v>93</v>
      </c>
      <c r="D67" s="40">
        <v>775</v>
      </c>
      <c r="F67">
        <v>457</v>
      </c>
      <c r="G67" s="41">
        <v>43330</v>
      </c>
      <c r="H67" t="str">
        <v>TX</v>
      </c>
      <c r="I67">
        <v>876</v>
      </c>
    </row>
    <row r="68" spans="1:9" x14ac:dyDescent="0.25">
      <c r="A68">
        <v>622</v>
      </c>
      <c r="B68" s="5">
        <v>43364</v>
      </c>
      <c r="C68" t="s">
        <v>93</v>
      </c>
      <c r="D68" s="40">
        <v>668</v>
      </c>
      <c r="F68">
        <v>519</v>
      </c>
      <c r="G68" s="41">
        <v>43342</v>
      </c>
      <c r="H68" t="str">
        <v>CA</v>
      </c>
      <c r="I68">
        <v>1145</v>
      </c>
    </row>
    <row r="69" spans="1:9" x14ac:dyDescent="0.25">
      <c r="A69">
        <v>258</v>
      </c>
      <c r="B69" s="5">
        <v>43294</v>
      </c>
      <c r="C69" t="s">
        <v>94</v>
      </c>
      <c r="D69" s="40">
        <v>1720</v>
      </c>
      <c r="F69">
        <v>498</v>
      </c>
      <c r="G69" s="41">
        <v>43338</v>
      </c>
      <c r="H69" t="str">
        <v>CA</v>
      </c>
      <c r="I69">
        <v>1597</v>
      </c>
    </row>
    <row r="70" spans="1:9" x14ac:dyDescent="0.25">
      <c r="A70">
        <v>338</v>
      </c>
      <c r="B70" s="5">
        <v>43307</v>
      </c>
      <c r="C70" t="s">
        <v>94</v>
      </c>
      <c r="D70" s="40">
        <v>985</v>
      </c>
      <c r="F70">
        <v>368</v>
      </c>
      <c r="G70" s="41">
        <v>43313</v>
      </c>
      <c r="H70" t="str">
        <v>CA</v>
      </c>
      <c r="I70">
        <v>1460</v>
      </c>
    </row>
    <row r="71" spans="1:9" x14ac:dyDescent="0.25">
      <c r="A71">
        <v>995</v>
      </c>
      <c r="B71" s="5">
        <v>43434</v>
      </c>
      <c r="C71" t="s">
        <v>92</v>
      </c>
      <c r="D71" s="40">
        <v>1883</v>
      </c>
      <c r="F71">
        <v>385</v>
      </c>
      <c r="G71" s="41">
        <v>43316</v>
      </c>
      <c r="H71" t="str">
        <v>CA</v>
      </c>
      <c r="I71">
        <v>635</v>
      </c>
    </row>
    <row r="72" spans="1:9" x14ac:dyDescent="0.25">
      <c r="A72">
        <v>176</v>
      </c>
      <c r="B72" s="5">
        <v>43281</v>
      </c>
      <c r="C72" t="s">
        <v>92</v>
      </c>
      <c r="D72" s="40">
        <v>1282</v>
      </c>
      <c r="F72">
        <v>426</v>
      </c>
      <c r="G72" s="41">
        <v>43325</v>
      </c>
      <c r="H72" t="str">
        <v>CA</v>
      </c>
      <c r="I72">
        <v>1680</v>
      </c>
    </row>
    <row r="73" spans="1:9" x14ac:dyDescent="0.25">
      <c r="A73">
        <v>541</v>
      </c>
      <c r="B73" s="5">
        <v>43346</v>
      </c>
      <c r="C73" t="s">
        <v>93</v>
      </c>
      <c r="D73" s="40">
        <v>723</v>
      </c>
      <c r="F73">
        <v>200</v>
      </c>
      <c r="G73" s="41">
        <v>43285</v>
      </c>
      <c r="H73" t="str">
        <v>NY</v>
      </c>
      <c r="I73">
        <v>807</v>
      </c>
    </row>
    <row r="74" spans="1:9" x14ac:dyDescent="0.25">
      <c r="A74">
        <v>469</v>
      </c>
      <c r="B74" s="5">
        <v>43332</v>
      </c>
      <c r="C74" t="s">
        <v>93</v>
      </c>
      <c r="D74" s="40">
        <v>1985</v>
      </c>
      <c r="F74">
        <v>341</v>
      </c>
      <c r="G74" s="41">
        <v>43308</v>
      </c>
      <c r="H74" t="str">
        <v>CA</v>
      </c>
      <c r="I74">
        <v>1741</v>
      </c>
    </row>
    <row r="75" spans="1:9" x14ac:dyDescent="0.25">
      <c r="A75">
        <v>301</v>
      </c>
      <c r="B75" s="5">
        <v>43301</v>
      </c>
      <c r="C75" t="s">
        <v>92</v>
      </c>
      <c r="D75" s="40">
        <v>788</v>
      </c>
      <c r="F75">
        <v>247</v>
      </c>
      <c r="G75" s="41">
        <v>43292</v>
      </c>
      <c r="H75" t="str">
        <v>NY</v>
      </c>
      <c r="I75">
        <v>1203</v>
      </c>
    </row>
    <row r="76" spans="1:9" x14ac:dyDescent="0.25">
      <c r="A76">
        <v>274</v>
      </c>
      <c r="B76" s="5">
        <v>43296</v>
      </c>
      <c r="C76" t="s">
        <v>93</v>
      </c>
      <c r="D76" s="40">
        <v>1150</v>
      </c>
      <c r="F76">
        <v>346</v>
      </c>
      <c r="G76" s="41">
        <v>43310</v>
      </c>
      <c r="H76" t="str">
        <v>NY</v>
      </c>
      <c r="I76">
        <v>1701</v>
      </c>
    </row>
    <row r="77" spans="1:9" x14ac:dyDescent="0.25">
      <c r="A77">
        <v>920</v>
      </c>
      <c r="B77" s="5">
        <v>43420</v>
      </c>
      <c r="C77" t="s">
        <v>93</v>
      </c>
      <c r="D77" s="40">
        <v>839</v>
      </c>
      <c r="F77">
        <v>245</v>
      </c>
      <c r="G77" s="41">
        <v>43292</v>
      </c>
      <c r="H77" t="str">
        <v>NY</v>
      </c>
      <c r="I77">
        <v>671</v>
      </c>
    </row>
    <row r="78" spans="1:9" x14ac:dyDescent="0.25">
      <c r="A78">
        <v>373</v>
      </c>
      <c r="B78" s="5">
        <v>43314</v>
      </c>
      <c r="C78" t="s">
        <v>94</v>
      </c>
      <c r="D78" s="40">
        <v>1382</v>
      </c>
      <c r="F78">
        <v>387</v>
      </c>
      <c r="G78" s="41">
        <v>43317</v>
      </c>
      <c r="H78" t="str">
        <v>CA</v>
      </c>
      <c r="I78">
        <v>1605</v>
      </c>
    </row>
    <row r="79" spans="1:9" x14ac:dyDescent="0.25">
      <c r="A79">
        <v>943</v>
      </c>
      <c r="B79" s="5">
        <v>43424</v>
      </c>
      <c r="C79" t="s">
        <v>94</v>
      </c>
      <c r="D79" s="40">
        <v>1949</v>
      </c>
      <c r="F79">
        <v>408</v>
      </c>
      <c r="G79" s="41">
        <v>43322</v>
      </c>
      <c r="H79" t="str">
        <v>NY</v>
      </c>
      <c r="I79">
        <v>517</v>
      </c>
    </row>
    <row r="80" spans="1:9" x14ac:dyDescent="0.25">
      <c r="A80">
        <v>515</v>
      </c>
      <c r="B80" s="5">
        <v>43341</v>
      </c>
      <c r="C80" t="s">
        <v>93</v>
      </c>
      <c r="D80" s="40">
        <v>1138</v>
      </c>
      <c r="F80">
        <v>517</v>
      </c>
      <c r="G80" s="41">
        <v>43342</v>
      </c>
      <c r="H80" t="str">
        <v>CA</v>
      </c>
      <c r="I80">
        <v>1695</v>
      </c>
    </row>
    <row r="81" spans="1:9" x14ac:dyDescent="0.25">
      <c r="A81">
        <v>174</v>
      </c>
      <c r="B81" s="5">
        <v>43280</v>
      </c>
      <c r="C81" t="s">
        <v>93</v>
      </c>
      <c r="D81" s="40">
        <v>570</v>
      </c>
      <c r="F81">
        <v>316</v>
      </c>
      <c r="G81" s="41">
        <v>43304</v>
      </c>
      <c r="H81" t="str">
        <v>NY</v>
      </c>
      <c r="I81">
        <v>1391</v>
      </c>
    </row>
    <row r="82" spans="1:9" x14ac:dyDescent="0.25">
      <c r="A82">
        <v>974</v>
      </c>
      <c r="B82" s="5">
        <v>43431</v>
      </c>
      <c r="C82" t="s">
        <v>93</v>
      </c>
      <c r="D82" s="40">
        <v>1369</v>
      </c>
      <c r="F82">
        <v>449</v>
      </c>
      <c r="G82" s="41">
        <v>43329</v>
      </c>
      <c r="H82" t="str">
        <v>TX</v>
      </c>
      <c r="I82">
        <v>687</v>
      </c>
    </row>
    <row r="83" spans="1:9" x14ac:dyDescent="0.25">
      <c r="A83">
        <v>532</v>
      </c>
      <c r="B83" s="5">
        <v>43344</v>
      </c>
      <c r="C83" t="s">
        <v>93</v>
      </c>
      <c r="D83" s="40">
        <v>1628</v>
      </c>
      <c r="F83">
        <v>400</v>
      </c>
      <c r="G83" s="41">
        <v>43320</v>
      </c>
      <c r="H83" t="str">
        <v>CA</v>
      </c>
      <c r="I83">
        <v>1259</v>
      </c>
    </row>
    <row r="84" spans="1:9" x14ac:dyDescent="0.25">
      <c r="A84">
        <v>282</v>
      </c>
      <c r="B84" s="5">
        <v>43298</v>
      </c>
      <c r="C84" t="s">
        <v>92</v>
      </c>
      <c r="D84" s="40">
        <v>813</v>
      </c>
      <c r="F84">
        <v>392</v>
      </c>
      <c r="G84" s="41">
        <v>43318</v>
      </c>
      <c r="H84" t="str">
        <v>CA</v>
      </c>
      <c r="I84">
        <v>1528</v>
      </c>
    </row>
    <row r="85" spans="1:9" x14ac:dyDescent="0.25">
      <c r="A85">
        <v>355</v>
      </c>
      <c r="B85" s="5">
        <v>43311</v>
      </c>
      <c r="C85" t="s">
        <v>93</v>
      </c>
      <c r="D85" s="40">
        <v>1647</v>
      </c>
      <c r="F85">
        <v>325</v>
      </c>
      <c r="G85" s="41">
        <v>43305</v>
      </c>
      <c r="H85" t="str">
        <v>NY</v>
      </c>
      <c r="I85">
        <v>1067</v>
      </c>
    </row>
    <row r="86" spans="1:9" x14ac:dyDescent="0.25">
      <c r="A86">
        <v>108</v>
      </c>
      <c r="B86" s="5">
        <v>43269</v>
      </c>
      <c r="C86" t="s">
        <v>92</v>
      </c>
      <c r="D86" s="40">
        <v>1835</v>
      </c>
      <c r="F86">
        <v>233</v>
      </c>
      <c r="G86" s="41">
        <v>43290</v>
      </c>
      <c r="H86" t="str">
        <v>TX</v>
      </c>
      <c r="I86">
        <v>740</v>
      </c>
    </row>
    <row r="87" spans="1:9" x14ac:dyDescent="0.25">
      <c r="A87">
        <v>643</v>
      </c>
      <c r="B87" s="5">
        <v>43366</v>
      </c>
      <c r="C87" t="s">
        <v>93</v>
      </c>
      <c r="D87" s="40">
        <v>863</v>
      </c>
      <c r="F87">
        <v>223</v>
      </c>
      <c r="G87" s="41">
        <v>43288</v>
      </c>
      <c r="H87" t="str">
        <v>NY</v>
      </c>
      <c r="I87">
        <v>876</v>
      </c>
    </row>
    <row r="88" spans="1:9" x14ac:dyDescent="0.25">
      <c r="A88">
        <v>260</v>
      </c>
      <c r="B88" s="5">
        <v>43295</v>
      </c>
      <c r="C88" t="s">
        <v>94</v>
      </c>
      <c r="D88" s="40">
        <v>815</v>
      </c>
      <c r="F88">
        <v>251</v>
      </c>
      <c r="G88" s="41">
        <v>43293</v>
      </c>
      <c r="H88" t="str">
        <v>CA</v>
      </c>
      <c r="I88">
        <v>1640</v>
      </c>
    </row>
    <row r="89" spans="1:9" x14ac:dyDescent="0.25">
      <c r="A89">
        <v>601</v>
      </c>
      <c r="B89" s="5">
        <v>43356</v>
      </c>
      <c r="C89" t="s">
        <v>94</v>
      </c>
      <c r="D89" s="40">
        <v>859</v>
      </c>
      <c r="F89">
        <v>466</v>
      </c>
      <c r="G89" s="41">
        <v>43332</v>
      </c>
      <c r="H89" t="str">
        <v>NY</v>
      </c>
      <c r="I89">
        <v>1561</v>
      </c>
    </row>
    <row r="90" spans="1:9" x14ac:dyDescent="0.25">
      <c r="A90">
        <v>199</v>
      </c>
      <c r="B90" s="5">
        <v>43284</v>
      </c>
      <c r="C90" t="s">
        <v>92</v>
      </c>
      <c r="D90" s="40">
        <v>1994</v>
      </c>
      <c r="F90">
        <v>307</v>
      </c>
      <c r="G90" s="41">
        <v>43302</v>
      </c>
      <c r="H90" t="str">
        <v>NY</v>
      </c>
      <c r="I90">
        <v>1832</v>
      </c>
    </row>
    <row r="91" spans="1:9" x14ac:dyDescent="0.25">
      <c r="A91">
        <v>477</v>
      </c>
      <c r="B91" s="5">
        <v>43333</v>
      </c>
      <c r="C91" t="s">
        <v>94</v>
      </c>
      <c r="D91" s="40">
        <v>1919</v>
      </c>
      <c r="F91">
        <v>311</v>
      </c>
      <c r="G91" s="41">
        <v>43303</v>
      </c>
      <c r="H91" t="str">
        <v>NY</v>
      </c>
      <c r="I91">
        <v>1350</v>
      </c>
    </row>
    <row r="92" spans="1:9" x14ac:dyDescent="0.25">
      <c r="A92">
        <v>551</v>
      </c>
      <c r="B92" s="5">
        <v>43347</v>
      </c>
      <c r="C92" t="s">
        <v>94</v>
      </c>
      <c r="D92" s="40">
        <v>1945</v>
      </c>
      <c r="F92">
        <v>377</v>
      </c>
      <c r="G92" s="41">
        <v>43314</v>
      </c>
      <c r="H92" t="str">
        <v>CA</v>
      </c>
      <c r="I92">
        <v>1284</v>
      </c>
    </row>
    <row r="93" spans="1:9" x14ac:dyDescent="0.25">
      <c r="A93">
        <v>511</v>
      </c>
      <c r="B93" s="5">
        <v>43339</v>
      </c>
      <c r="C93" t="s">
        <v>93</v>
      </c>
      <c r="D93" s="40">
        <v>876</v>
      </c>
      <c r="F93">
        <v>378</v>
      </c>
      <c r="G93" s="41">
        <v>43315</v>
      </c>
      <c r="H93" t="str">
        <v>TX</v>
      </c>
      <c r="I93">
        <v>1731</v>
      </c>
    </row>
    <row r="94" spans="1:9" x14ac:dyDescent="0.25">
      <c r="A94">
        <v>600</v>
      </c>
      <c r="B94" s="5">
        <v>43356</v>
      </c>
      <c r="C94" t="s">
        <v>92</v>
      </c>
      <c r="D94" s="40">
        <v>1379</v>
      </c>
      <c r="F94">
        <v>326</v>
      </c>
      <c r="G94" s="41">
        <v>43305</v>
      </c>
      <c r="H94" t="str">
        <v>NY</v>
      </c>
      <c r="I94">
        <v>1980</v>
      </c>
    </row>
    <row r="95" spans="1:9" x14ac:dyDescent="0.25">
      <c r="A95">
        <v>561</v>
      </c>
      <c r="B95" s="5">
        <v>43348</v>
      </c>
      <c r="C95" t="s">
        <v>94</v>
      </c>
      <c r="D95" s="40">
        <v>515</v>
      </c>
      <c r="F95">
        <v>333</v>
      </c>
      <c r="G95" s="41">
        <v>43306</v>
      </c>
      <c r="H95" t="str">
        <v>TX</v>
      </c>
      <c r="I95">
        <v>732</v>
      </c>
    </row>
    <row r="96" spans="1:9" x14ac:dyDescent="0.25">
      <c r="A96">
        <v>662</v>
      </c>
      <c r="B96" s="5">
        <v>43369</v>
      </c>
      <c r="C96" t="s">
        <v>92</v>
      </c>
      <c r="D96" s="40">
        <v>1004</v>
      </c>
      <c r="F96">
        <v>421</v>
      </c>
      <c r="G96" s="41">
        <v>43324</v>
      </c>
      <c r="H96" t="str">
        <v>CA</v>
      </c>
      <c r="I96">
        <v>761</v>
      </c>
    </row>
    <row r="97" spans="1:9" x14ac:dyDescent="0.25">
      <c r="A97">
        <v>866</v>
      </c>
      <c r="B97" s="5">
        <v>43412</v>
      </c>
      <c r="C97" t="s">
        <v>92</v>
      </c>
      <c r="D97" s="40">
        <v>1263</v>
      </c>
      <c r="F97">
        <v>262</v>
      </c>
      <c r="G97" s="41">
        <v>43295</v>
      </c>
      <c r="H97" t="str">
        <v>CA</v>
      </c>
      <c r="I97">
        <v>1214</v>
      </c>
    </row>
    <row r="98" spans="1:9" x14ac:dyDescent="0.25">
      <c r="A98">
        <v>554</v>
      </c>
      <c r="B98" s="5">
        <v>43348</v>
      </c>
      <c r="C98" t="s">
        <v>94</v>
      </c>
      <c r="D98" s="40">
        <v>1112</v>
      </c>
      <c r="F98">
        <v>268</v>
      </c>
      <c r="G98" s="41">
        <v>43296</v>
      </c>
      <c r="H98" t="str">
        <v>NY</v>
      </c>
      <c r="I98">
        <v>1493</v>
      </c>
    </row>
    <row r="99" spans="1:9" x14ac:dyDescent="0.25">
      <c r="A99">
        <v>531</v>
      </c>
      <c r="B99" s="5">
        <v>43344</v>
      </c>
      <c r="C99" t="s">
        <v>94</v>
      </c>
      <c r="D99" s="40">
        <v>1523</v>
      </c>
      <c r="F99">
        <v>406</v>
      </c>
      <c r="G99" s="41">
        <v>43321</v>
      </c>
      <c r="H99" t="str">
        <v>TX</v>
      </c>
      <c r="I99">
        <v>951</v>
      </c>
    </row>
    <row r="100" spans="1:9" x14ac:dyDescent="0.25">
      <c r="A100">
        <v>157</v>
      </c>
      <c r="B100" s="5">
        <v>43277</v>
      </c>
      <c r="C100" t="s">
        <v>93</v>
      </c>
      <c r="D100" s="40">
        <v>571</v>
      </c>
      <c r="F100">
        <v>458</v>
      </c>
      <c r="G100" s="41">
        <v>43331</v>
      </c>
      <c r="H100" t="str">
        <v>CA</v>
      </c>
      <c r="I100">
        <v>1575</v>
      </c>
    </row>
    <row r="101" spans="1:9" x14ac:dyDescent="0.25">
      <c r="A101">
        <v>250</v>
      </c>
      <c r="B101" s="5">
        <v>43293</v>
      </c>
      <c r="C101" t="s">
        <v>93</v>
      </c>
      <c r="D101" s="40">
        <v>1250</v>
      </c>
      <c r="F101">
        <v>440</v>
      </c>
      <c r="G101" s="41">
        <v>43328</v>
      </c>
      <c r="H101" t="str">
        <v>NY</v>
      </c>
      <c r="I101">
        <v>1057</v>
      </c>
    </row>
    <row r="102" spans="1:9" x14ac:dyDescent="0.25">
      <c r="A102">
        <v>716</v>
      </c>
      <c r="B102" s="5">
        <v>43383</v>
      </c>
      <c r="C102" t="s">
        <v>94</v>
      </c>
      <c r="D102" s="40">
        <v>1945</v>
      </c>
      <c r="F102">
        <v>446</v>
      </c>
      <c r="G102" s="41">
        <v>43328</v>
      </c>
      <c r="H102" t="str">
        <v>TX</v>
      </c>
      <c r="I102">
        <v>1489</v>
      </c>
    </row>
    <row r="103" spans="1:9" x14ac:dyDescent="0.25">
      <c r="A103">
        <v>331</v>
      </c>
      <c r="B103" s="5">
        <v>43306</v>
      </c>
      <c r="C103" t="s">
        <v>92</v>
      </c>
      <c r="D103" s="40">
        <v>1088</v>
      </c>
      <c r="F103">
        <v>212</v>
      </c>
      <c r="G103" s="41">
        <v>43287</v>
      </c>
      <c r="H103" t="str">
        <v>TX</v>
      </c>
      <c r="I103">
        <v>1687</v>
      </c>
    </row>
    <row r="104" spans="1:9" x14ac:dyDescent="0.25">
      <c r="A104">
        <v>883</v>
      </c>
      <c r="B104" s="5">
        <v>43415</v>
      </c>
      <c r="C104" t="s">
        <v>92</v>
      </c>
      <c r="D104" s="40">
        <v>1328</v>
      </c>
      <c r="F104">
        <v>360</v>
      </c>
      <c r="G104" s="41">
        <v>43311</v>
      </c>
      <c r="H104" t="str">
        <v>TX</v>
      </c>
      <c r="I104">
        <v>808</v>
      </c>
    </row>
    <row r="105" spans="1:9" x14ac:dyDescent="0.25">
      <c r="A105">
        <v>636</v>
      </c>
      <c r="B105" s="5">
        <v>43365</v>
      </c>
      <c r="C105" t="s">
        <v>92</v>
      </c>
      <c r="D105" s="40">
        <v>1061</v>
      </c>
      <c r="F105">
        <v>471</v>
      </c>
      <c r="G105" s="41">
        <v>43333</v>
      </c>
      <c r="H105" t="str">
        <v>NY</v>
      </c>
      <c r="I105">
        <v>1372</v>
      </c>
    </row>
    <row r="106" spans="1:9" x14ac:dyDescent="0.25">
      <c r="A106">
        <v>977</v>
      </c>
      <c r="B106" s="5">
        <v>43431</v>
      </c>
      <c r="C106" t="s">
        <v>93</v>
      </c>
      <c r="D106" s="40">
        <v>1847</v>
      </c>
      <c r="F106">
        <v>401</v>
      </c>
      <c r="G106" s="41">
        <v>43320</v>
      </c>
      <c r="H106" t="str">
        <v>TX</v>
      </c>
      <c r="I106">
        <v>897</v>
      </c>
    </row>
    <row r="107" spans="1:9" x14ac:dyDescent="0.25">
      <c r="A107">
        <v>557</v>
      </c>
      <c r="B107" s="5">
        <v>43348</v>
      </c>
      <c r="C107" t="s">
        <v>92</v>
      </c>
      <c r="D107" s="40">
        <v>1064</v>
      </c>
      <c r="F107">
        <v>224</v>
      </c>
      <c r="G107" s="41">
        <v>43288</v>
      </c>
      <c r="H107" t="str">
        <v>CA</v>
      </c>
      <c r="I107">
        <v>1315</v>
      </c>
    </row>
    <row r="108" spans="1:9" x14ac:dyDescent="0.25">
      <c r="A108">
        <v>244</v>
      </c>
      <c r="B108" s="5">
        <v>43292</v>
      </c>
      <c r="C108" t="s">
        <v>92</v>
      </c>
      <c r="D108" s="40">
        <v>1974</v>
      </c>
      <c r="F108">
        <v>270</v>
      </c>
      <c r="G108" s="41">
        <v>43296</v>
      </c>
      <c r="H108" t="str">
        <v>CA</v>
      </c>
      <c r="I108">
        <v>868</v>
      </c>
    </row>
    <row r="109" spans="1:9" x14ac:dyDescent="0.25">
      <c r="A109">
        <v>761</v>
      </c>
      <c r="B109" s="5">
        <v>43390</v>
      </c>
      <c r="C109" t="s">
        <v>92</v>
      </c>
      <c r="D109" s="40">
        <v>1660</v>
      </c>
      <c r="F109">
        <v>191</v>
      </c>
      <c r="G109" s="41">
        <v>43283</v>
      </c>
      <c r="H109" t="str">
        <v>CA</v>
      </c>
      <c r="I109">
        <v>1998</v>
      </c>
    </row>
    <row r="110" spans="1:9" x14ac:dyDescent="0.25">
      <c r="A110">
        <v>214</v>
      </c>
      <c r="B110" s="5">
        <v>43287</v>
      </c>
      <c r="C110" t="s">
        <v>93</v>
      </c>
      <c r="D110" s="40">
        <v>1314</v>
      </c>
      <c r="F110">
        <v>468</v>
      </c>
      <c r="G110" s="41">
        <v>43332</v>
      </c>
      <c r="H110" t="str">
        <v>TX</v>
      </c>
      <c r="I110">
        <v>1664</v>
      </c>
    </row>
    <row r="111" spans="1:9" x14ac:dyDescent="0.25">
      <c r="A111">
        <v>463</v>
      </c>
      <c r="B111" s="5">
        <v>43332</v>
      </c>
      <c r="C111" t="s">
        <v>93</v>
      </c>
      <c r="D111" s="40">
        <v>924</v>
      </c>
      <c r="F111">
        <v>320</v>
      </c>
      <c r="G111" s="41">
        <v>43304</v>
      </c>
      <c r="H111" t="str">
        <v>CA</v>
      </c>
      <c r="I111">
        <v>1697</v>
      </c>
    </row>
    <row r="112" spans="1:9" x14ac:dyDescent="0.25">
      <c r="A112">
        <v>388</v>
      </c>
      <c r="B112" s="5">
        <v>43317</v>
      </c>
      <c r="C112" t="s">
        <v>94</v>
      </c>
      <c r="D112" s="40">
        <v>1065</v>
      </c>
      <c r="F112">
        <v>503</v>
      </c>
      <c r="G112" s="41">
        <v>43339</v>
      </c>
      <c r="H112" t="str">
        <v>CA</v>
      </c>
      <c r="I112">
        <v>1216</v>
      </c>
    </row>
    <row r="113" spans="1:9" x14ac:dyDescent="0.25">
      <c r="A113">
        <v>55</v>
      </c>
      <c r="B113" s="5">
        <v>43260</v>
      </c>
      <c r="C113" t="s">
        <v>93</v>
      </c>
      <c r="D113" s="40">
        <v>1759</v>
      </c>
      <c r="F113">
        <v>277</v>
      </c>
      <c r="G113" s="41">
        <v>43297</v>
      </c>
      <c r="H113" t="str">
        <v>CA</v>
      </c>
      <c r="I113">
        <v>593</v>
      </c>
    </row>
    <row r="114" spans="1:9" x14ac:dyDescent="0.25">
      <c r="A114">
        <v>185</v>
      </c>
      <c r="B114" s="5">
        <v>43283</v>
      </c>
      <c r="C114" t="s">
        <v>93</v>
      </c>
      <c r="D114" s="40">
        <v>1745</v>
      </c>
      <c r="F114">
        <v>280</v>
      </c>
      <c r="G114" s="41">
        <v>43297</v>
      </c>
      <c r="H114" t="str">
        <v>CA</v>
      </c>
      <c r="I114">
        <v>1268</v>
      </c>
    </row>
    <row r="115" spans="1:9" x14ac:dyDescent="0.25">
      <c r="A115">
        <v>879</v>
      </c>
      <c r="B115" s="5">
        <v>43414</v>
      </c>
      <c r="C115" t="s">
        <v>92</v>
      </c>
      <c r="D115" s="40">
        <v>1558</v>
      </c>
      <c r="F115">
        <v>211</v>
      </c>
      <c r="G115" s="41">
        <v>43287</v>
      </c>
      <c r="H115" t="str">
        <v>CA</v>
      </c>
      <c r="I115">
        <v>1668</v>
      </c>
    </row>
    <row r="116" spans="1:9" x14ac:dyDescent="0.25">
      <c r="A116">
        <v>289</v>
      </c>
      <c r="B116" s="5">
        <v>43299</v>
      </c>
      <c r="C116" t="s">
        <v>93</v>
      </c>
      <c r="D116" s="40">
        <v>1642</v>
      </c>
      <c r="F116">
        <v>500</v>
      </c>
      <c r="G116" s="41">
        <v>43338</v>
      </c>
      <c r="H116" t="str">
        <v>CA</v>
      </c>
      <c r="I116">
        <v>519</v>
      </c>
    </row>
    <row r="117" spans="1:9" x14ac:dyDescent="0.25">
      <c r="A117">
        <v>278</v>
      </c>
      <c r="B117" s="5">
        <v>43297</v>
      </c>
      <c r="C117" t="s">
        <v>92</v>
      </c>
      <c r="D117" s="40">
        <v>1108</v>
      </c>
      <c r="F117">
        <v>482</v>
      </c>
      <c r="G117" s="41">
        <v>43334</v>
      </c>
      <c r="H117" t="str">
        <v>CA</v>
      </c>
      <c r="I117">
        <v>1388</v>
      </c>
    </row>
    <row r="118" spans="1:9" x14ac:dyDescent="0.25">
      <c r="A118">
        <v>699</v>
      </c>
      <c r="B118" s="5">
        <v>43379</v>
      </c>
      <c r="C118" t="s">
        <v>92</v>
      </c>
      <c r="D118" s="40">
        <v>589</v>
      </c>
      <c r="F118">
        <v>271</v>
      </c>
      <c r="G118" s="41">
        <v>43296</v>
      </c>
      <c r="H118" t="str">
        <v>CA</v>
      </c>
      <c r="I118">
        <v>568</v>
      </c>
    </row>
    <row r="119" spans="1:9" x14ac:dyDescent="0.25">
      <c r="A119">
        <v>994</v>
      </c>
      <c r="B119" s="5">
        <v>43434</v>
      </c>
      <c r="C119" t="s">
        <v>92</v>
      </c>
      <c r="D119" s="40">
        <v>1854</v>
      </c>
      <c r="F119">
        <v>305</v>
      </c>
      <c r="G119" s="41">
        <v>43301</v>
      </c>
      <c r="H119" t="str">
        <v>TX</v>
      </c>
      <c r="I119">
        <v>957</v>
      </c>
    </row>
    <row r="120" spans="1:9" x14ac:dyDescent="0.25">
      <c r="A120">
        <v>678</v>
      </c>
      <c r="B120" s="5">
        <v>43373</v>
      </c>
      <c r="C120" t="s">
        <v>92</v>
      </c>
      <c r="D120" s="40">
        <v>589</v>
      </c>
      <c r="F120">
        <v>235</v>
      </c>
      <c r="G120" s="41">
        <v>43291</v>
      </c>
      <c r="H120" t="str">
        <v>CA</v>
      </c>
      <c r="I120">
        <v>1569</v>
      </c>
    </row>
    <row r="121" spans="1:9" x14ac:dyDescent="0.25">
      <c r="A121">
        <v>754</v>
      </c>
      <c r="B121" s="5">
        <v>43388</v>
      </c>
      <c r="C121" t="s">
        <v>92</v>
      </c>
      <c r="D121" s="40">
        <v>1239</v>
      </c>
      <c r="F121">
        <v>349</v>
      </c>
      <c r="G121" s="41">
        <v>43310</v>
      </c>
      <c r="H121" t="str">
        <v>CA</v>
      </c>
      <c r="I121">
        <v>1640</v>
      </c>
    </row>
    <row r="122" spans="1:9" x14ac:dyDescent="0.25">
      <c r="A122">
        <v>417</v>
      </c>
      <c r="B122" s="5">
        <v>43323</v>
      </c>
      <c r="C122" t="s">
        <v>92</v>
      </c>
      <c r="D122" s="40">
        <v>953</v>
      </c>
      <c r="F122">
        <v>499</v>
      </c>
      <c r="G122" s="41">
        <v>43338</v>
      </c>
      <c r="H122" t="str">
        <v>NY</v>
      </c>
      <c r="I122">
        <v>1785</v>
      </c>
    </row>
    <row r="123" spans="1:9" x14ac:dyDescent="0.25">
      <c r="A123">
        <v>181</v>
      </c>
      <c r="B123" s="5">
        <v>43282</v>
      </c>
      <c r="C123" t="s">
        <v>92</v>
      </c>
      <c r="D123" s="40">
        <v>1882</v>
      </c>
      <c r="F123">
        <v>369</v>
      </c>
      <c r="G123" s="41">
        <v>43313</v>
      </c>
      <c r="H123" t="str">
        <v>TX</v>
      </c>
      <c r="I123">
        <v>1758</v>
      </c>
    </row>
    <row r="124" spans="1:9" x14ac:dyDescent="0.25">
      <c r="A124">
        <v>536</v>
      </c>
      <c r="B124" s="5">
        <v>43345</v>
      </c>
      <c r="C124" t="s">
        <v>93</v>
      </c>
      <c r="D124" s="40">
        <v>1567</v>
      </c>
      <c r="F124">
        <v>342</v>
      </c>
      <c r="G124" s="41">
        <v>43308</v>
      </c>
      <c r="H124" t="str">
        <v>CA</v>
      </c>
      <c r="I124">
        <v>1159</v>
      </c>
    </row>
    <row r="125" spans="1:9" x14ac:dyDescent="0.25">
      <c r="A125">
        <v>534</v>
      </c>
      <c r="B125" s="5">
        <v>43344</v>
      </c>
      <c r="C125" t="s">
        <v>93</v>
      </c>
      <c r="D125" s="40">
        <v>1106</v>
      </c>
      <c r="F125">
        <v>422</v>
      </c>
      <c r="G125" s="41">
        <v>43324</v>
      </c>
      <c r="H125" t="str">
        <v>CA</v>
      </c>
      <c r="I125">
        <v>760</v>
      </c>
    </row>
    <row r="126" spans="1:9" x14ac:dyDescent="0.25">
      <c r="A126">
        <v>253</v>
      </c>
      <c r="B126" s="5">
        <v>43294</v>
      </c>
      <c r="C126" t="s">
        <v>92</v>
      </c>
      <c r="D126" s="40">
        <v>1049</v>
      </c>
      <c r="F126">
        <v>310</v>
      </c>
      <c r="G126" s="41">
        <v>43303</v>
      </c>
      <c r="H126" t="str">
        <v>CA</v>
      </c>
      <c r="I126">
        <v>814</v>
      </c>
    </row>
    <row r="127" spans="1:9" x14ac:dyDescent="0.25">
      <c r="A127">
        <v>841</v>
      </c>
      <c r="B127" s="5">
        <v>43408</v>
      </c>
      <c r="C127" t="s">
        <v>93</v>
      </c>
      <c r="D127" s="40">
        <v>1398</v>
      </c>
      <c r="F127">
        <v>344</v>
      </c>
      <c r="G127" s="41">
        <v>43309</v>
      </c>
      <c r="H127" t="str">
        <v>CA</v>
      </c>
      <c r="I127">
        <v>1553</v>
      </c>
    </row>
    <row r="128" spans="1:9" x14ac:dyDescent="0.25">
      <c r="A128">
        <v>121</v>
      </c>
      <c r="B128" s="5">
        <v>43271</v>
      </c>
      <c r="C128" t="s">
        <v>93</v>
      </c>
      <c r="D128" s="40">
        <v>1704</v>
      </c>
      <c r="F128">
        <v>215</v>
      </c>
      <c r="G128" s="41">
        <v>43287</v>
      </c>
      <c r="H128" t="str">
        <v>CA</v>
      </c>
      <c r="I128">
        <v>1730</v>
      </c>
    </row>
    <row r="129" spans="1:9" x14ac:dyDescent="0.25">
      <c r="A129">
        <v>74</v>
      </c>
      <c r="B129" s="5">
        <v>43264</v>
      </c>
      <c r="C129" t="s">
        <v>93</v>
      </c>
      <c r="D129" s="40">
        <v>878</v>
      </c>
      <c r="F129">
        <v>367</v>
      </c>
      <c r="G129" s="41">
        <v>43313</v>
      </c>
      <c r="H129" t="str">
        <v>TX</v>
      </c>
      <c r="I129">
        <v>727</v>
      </c>
    </row>
    <row r="130" spans="1:9" x14ac:dyDescent="0.25">
      <c r="A130">
        <v>934</v>
      </c>
      <c r="B130" s="5">
        <v>43423</v>
      </c>
      <c r="C130" t="s">
        <v>92</v>
      </c>
      <c r="D130" s="40">
        <v>755</v>
      </c>
      <c r="F130">
        <v>348</v>
      </c>
      <c r="G130" s="41">
        <v>43310</v>
      </c>
      <c r="H130" t="str">
        <v>CA</v>
      </c>
      <c r="I130">
        <v>1414</v>
      </c>
    </row>
    <row r="131" spans="1:9" x14ac:dyDescent="0.25">
      <c r="A131">
        <v>897</v>
      </c>
      <c r="B131" s="5">
        <v>43417</v>
      </c>
      <c r="C131" t="s">
        <v>92</v>
      </c>
      <c r="D131" s="40">
        <v>515</v>
      </c>
      <c r="F131">
        <v>397</v>
      </c>
      <c r="G131" s="41">
        <v>43319</v>
      </c>
      <c r="H131" t="str">
        <v>TX</v>
      </c>
      <c r="I131">
        <v>1824</v>
      </c>
    </row>
    <row r="132" spans="1:9" x14ac:dyDescent="0.25">
      <c r="A132">
        <v>667</v>
      </c>
      <c r="B132" s="5">
        <v>43369</v>
      </c>
      <c r="C132" t="s">
        <v>93</v>
      </c>
      <c r="D132" s="40">
        <v>1179</v>
      </c>
      <c r="F132">
        <v>193</v>
      </c>
      <c r="G132" s="41">
        <v>43283</v>
      </c>
      <c r="H132" t="str">
        <v>NY</v>
      </c>
      <c r="I132">
        <v>1012</v>
      </c>
    </row>
    <row r="133" spans="1:9" x14ac:dyDescent="0.25">
      <c r="A133">
        <v>287</v>
      </c>
      <c r="B133" s="5">
        <v>43298</v>
      </c>
      <c r="C133" t="s">
        <v>94</v>
      </c>
      <c r="D133" s="40">
        <v>728</v>
      </c>
      <c r="F133">
        <v>504</v>
      </c>
      <c r="G133" s="41">
        <v>43339</v>
      </c>
      <c r="H133" t="str">
        <v>NY</v>
      </c>
      <c r="I133">
        <v>554</v>
      </c>
    </row>
    <row r="134" spans="1:9" x14ac:dyDescent="0.25">
      <c r="A134">
        <v>115</v>
      </c>
      <c r="B134" s="5">
        <v>43270</v>
      </c>
      <c r="C134" t="s">
        <v>93</v>
      </c>
      <c r="D134" s="40">
        <v>1182</v>
      </c>
      <c r="F134">
        <v>428</v>
      </c>
      <c r="G134" s="41">
        <v>43325</v>
      </c>
      <c r="H134" t="str">
        <v>CA</v>
      </c>
      <c r="I134">
        <v>1257</v>
      </c>
    </row>
    <row r="135" spans="1:9" x14ac:dyDescent="0.25">
      <c r="A135">
        <v>228</v>
      </c>
      <c r="B135" s="5">
        <v>43289</v>
      </c>
      <c r="C135" t="s">
        <v>94</v>
      </c>
      <c r="D135" s="40">
        <v>568</v>
      </c>
      <c r="F135">
        <v>357</v>
      </c>
      <c r="G135" s="41">
        <v>43311</v>
      </c>
      <c r="H135" t="str">
        <v>TX</v>
      </c>
      <c r="I135">
        <v>903</v>
      </c>
    </row>
    <row r="136" spans="1:9" x14ac:dyDescent="0.25">
      <c r="A136">
        <v>524</v>
      </c>
      <c r="B136" s="5">
        <v>43343</v>
      </c>
      <c r="C136" t="s">
        <v>92</v>
      </c>
      <c r="D136" s="40">
        <v>951</v>
      </c>
      <c r="F136">
        <v>340</v>
      </c>
      <c r="G136" s="41">
        <v>43308</v>
      </c>
      <c r="H136" t="str">
        <v>TX</v>
      </c>
      <c r="I136">
        <v>1014</v>
      </c>
    </row>
    <row r="137" spans="1:9" x14ac:dyDescent="0.25">
      <c r="A137">
        <v>645</v>
      </c>
      <c r="B137" s="5">
        <v>43366</v>
      </c>
      <c r="C137" t="s">
        <v>94</v>
      </c>
      <c r="D137" s="40">
        <v>1621</v>
      </c>
      <c r="F137">
        <v>201</v>
      </c>
      <c r="G137" s="41">
        <v>43285</v>
      </c>
      <c r="H137" t="str">
        <v>TX</v>
      </c>
      <c r="I137">
        <v>1840</v>
      </c>
    </row>
    <row r="138" spans="1:9" x14ac:dyDescent="0.25">
      <c r="A138">
        <v>283</v>
      </c>
      <c r="B138" s="5">
        <v>43298</v>
      </c>
      <c r="C138" t="s">
        <v>94</v>
      </c>
      <c r="D138" s="40">
        <v>1936</v>
      </c>
      <c r="F138">
        <v>239</v>
      </c>
      <c r="G138" s="41">
        <v>43291</v>
      </c>
      <c r="H138" t="str">
        <v>TX</v>
      </c>
      <c r="I138">
        <v>1874</v>
      </c>
    </row>
    <row r="139" spans="1:9" x14ac:dyDescent="0.25">
      <c r="A139">
        <v>543</v>
      </c>
      <c r="B139" s="5">
        <v>43346</v>
      </c>
      <c r="C139" t="s">
        <v>94</v>
      </c>
      <c r="D139" s="40">
        <v>766</v>
      </c>
      <c r="F139">
        <v>396</v>
      </c>
      <c r="G139" s="41">
        <v>43319</v>
      </c>
      <c r="H139" t="str">
        <v>TX</v>
      </c>
      <c r="I139">
        <v>1632</v>
      </c>
    </row>
    <row r="140" spans="1:9" x14ac:dyDescent="0.25">
      <c r="A140">
        <v>916</v>
      </c>
      <c r="B140" s="5">
        <v>43420</v>
      </c>
      <c r="C140" t="s">
        <v>93</v>
      </c>
      <c r="D140" s="40">
        <v>608</v>
      </c>
      <c r="F140">
        <v>451</v>
      </c>
      <c r="G140" s="41">
        <v>43329</v>
      </c>
      <c r="H140" t="str">
        <v>NY</v>
      </c>
      <c r="I140">
        <v>578</v>
      </c>
    </row>
    <row r="141" spans="1:9" x14ac:dyDescent="0.25">
      <c r="A141">
        <v>291</v>
      </c>
      <c r="B141" s="5">
        <v>43299</v>
      </c>
      <c r="C141" t="s">
        <v>92</v>
      </c>
      <c r="D141" s="40">
        <v>577</v>
      </c>
      <c r="F141">
        <v>491</v>
      </c>
      <c r="G141" s="41">
        <v>43335</v>
      </c>
      <c r="H141" t="str">
        <v>NY</v>
      </c>
      <c r="I141">
        <v>1189</v>
      </c>
    </row>
    <row r="142" spans="1:9" x14ac:dyDescent="0.25">
      <c r="A142">
        <v>657</v>
      </c>
      <c r="B142" s="5">
        <v>43368</v>
      </c>
      <c r="C142" t="s">
        <v>93</v>
      </c>
      <c r="D142" s="40">
        <v>901</v>
      </c>
      <c r="F142">
        <v>273</v>
      </c>
      <c r="G142" s="41">
        <v>43296</v>
      </c>
      <c r="H142" t="str">
        <v>CA</v>
      </c>
      <c r="I142">
        <v>1437</v>
      </c>
    </row>
    <row r="143" spans="1:9" x14ac:dyDescent="0.25">
      <c r="A143">
        <v>443</v>
      </c>
      <c r="B143" s="5">
        <v>43328</v>
      </c>
      <c r="C143" t="s">
        <v>92</v>
      </c>
      <c r="D143" s="40">
        <v>727</v>
      </c>
      <c r="F143">
        <v>266</v>
      </c>
      <c r="G143" s="41">
        <v>43296</v>
      </c>
      <c r="H143" t="str">
        <v>NY</v>
      </c>
      <c r="I143">
        <v>993</v>
      </c>
    </row>
    <row r="144" spans="1:9" x14ac:dyDescent="0.25">
      <c r="A144">
        <v>154</v>
      </c>
      <c r="B144" s="5">
        <v>43276</v>
      </c>
      <c r="C144" t="s">
        <v>93</v>
      </c>
      <c r="D144" s="40">
        <v>562</v>
      </c>
      <c r="F144">
        <v>435</v>
      </c>
      <c r="G144" s="41">
        <v>43327</v>
      </c>
      <c r="H144" t="str">
        <v>CA</v>
      </c>
      <c r="I144">
        <v>1908</v>
      </c>
    </row>
    <row r="145" spans="1:9" x14ac:dyDescent="0.25">
      <c r="A145">
        <v>438</v>
      </c>
      <c r="B145" s="5">
        <v>43327</v>
      </c>
      <c r="C145" t="s">
        <v>92</v>
      </c>
      <c r="D145" s="40">
        <v>1133</v>
      </c>
      <c r="F145">
        <v>474</v>
      </c>
      <c r="G145" s="41">
        <v>43333</v>
      </c>
      <c r="H145" t="str">
        <v>NY</v>
      </c>
      <c r="I145">
        <v>892</v>
      </c>
    </row>
    <row r="146" spans="1:9" x14ac:dyDescent="0.25">
      <c r="A146">
        <v>778</v>
      </c>
      <c r="B146" s="5">
        <v>43393</v>
      </c>
      <c r="C146" t="s">
        <v>93</v>
      </c>
      <c r="D146" s="40">
        <v>888</v>
      </c>
      <c r="F146">
        <v>203</v>
      </c>
      <c r="G146" s="41">
        <v>43285</v>
      </c>
      <c r="H146" t="str">
        <v>NY</v>
      </c>
      <c r="I146">
        <v>745</v>
      </c>
    </row>
    <row r="147" spans="1:9" x14ac:dyDescent="0.25">
      <c r="A147">
        <v>122</v>
      </c>
      <c r="B147" s="5">
        <v>43271</v>
      </c>
      <c r="C147" t="s">
        <v>94</v>
      </c>
      <c r="D147" s="40">
        <v>1381</v>
      </c>
      <c r="F147">
        <v>481</v>
      </c>
      <c r="G147" s="41">
        <v>43334</v>
      </c>
      <c r="H147" t="str">
        <v>CA</v>
      </c>
      <c r="I147">
        <v>527</v>
      </c>
    </row>
    <row r="148" spans="1:9" x14ac:dyDescent="0.25">
      <c r="A148">
        <v>734</v>
      </c>
      <c r="B148" s="5">
        <v>43386</v>
      </c>
      <c r="C148" t="s">
        <v>92</v>
      </c>
      <c r="D148" s="40">
        <v>1532</v>
      </c>
      <c r="F148">
        <v>379</v>
      </c>
      <c r="G148" s="41">
        <v>43315</v>
      </c>
      <c r="H148" t="str">
        <v>NY</v>
      </c>
      <c r="I148">
        <v>1131</v>
      </c>
    </row>
    <row r="149" spans="1:9" x14ac:dyDescent="0.25">
      <c r="A149">
        <v>210</v>
      </c>
      <c r="B149" s="5">
        <v>43286</v>
      </c>
      <c r="C149" t="s">
        <v>94</v>
      </c>
      <c r="D149" s="40">
        <v>564</v>
      </c>
      <c r="F149">
        <v>460</v>
      </c>
      <c r="G149" s="41">
        <v>43331</v>
      </c>
      <c r="H149" t="str">
        <v>TX</v>
      </c>
      <c r="I149">
        <v>1737</v>
      </c>
    </row>
    <row r="150" spans="1:9" x14ac:dyDescent="0.25">
      <c r="A150">
        <v>810</v>
      </c>
      <c r="B150" s="5">
        <v>43401</v>
      </c>
      <c r="C150" t="s">
        <v>92</v>
      </c>
      <c r="D150" s="40">
        <v>1352</v>
      </c>
      <c r="F150">
        <v>452</v>
      </c>
      <c r="G150" s="41">
        <v>43329</v>
      </c>
      <c r="H150" t="str">
        <v>NY</v>
      </c>
      <c r="I150">
        <v>1279</v>
      </c>
    </row>
    <row r="151" spans="1:9" x14ac:dyDescent="0.25">
      <c r="A151">
        <v>523</v>
      </c>
      <c r="B151" s="5">
        <v>43343</v>
      </c>
      <c r="C151" t="s">
        <v>93</v>
      </c>
      <c r="D151" s="40">
        <v>719</v>
      </c>
      <c r="F151">
        <v>232</v>
      </c>
      <c r="G151" s="41">
        <v>43290</v>
      </c>
      <c r="H151" t="str">
        <v>NY</v>
      </c>
      <c r="I151">
        <v>1681</v>
      </c>
    </row>
    <row r="152" spans="1:9" x14ac:dyDescent="0.25">
      <c r="A152">
        <v>579</v>
      </c>
      <c r="B152" s="5">
        <v>43352</v>
      </c>
      <c r="C152" t="s">
        <v>94</v>
      </c>
      <c r="D152" s="40">
        <v>1263</v>
      </c>
      <c r="F152">
        <v>391</v>
      </c>
      <c r="G152" s="41">
        <v>43318</v>
      </c>
      <c r="H152" t="str">
        <v>NY</v>
      </c>
      <c r="I152">
        <v>900</v>
      </c>
    </row>
    <row r="153" spans="1:9" x14ac:dyDescent="0.25">
      <c r="A153">
        <v>570</v>
      </c>
      <c r="B153" s="5">
        <v>43350</v>
      </c>
      <c r="C153" t="s">
        <v>94</v>
      </c>
      <c r="D153" s="40">
        <v>1712</v>
      </c>
      <c r="F153">
        <v>257</v>
      </c>
      <c r="G153" s="41">
        <v>43294</v>
      </c>
      <c r="H153" t="str">
        <v>CA</v>
      </c>
      <c r="I153">
        <v>682</v>
      </c>
    </row>
    <row r="154" spans="1:9" x14ac:dyDescent="0.25">
      <c r="A154">
        <v>131</v>
      </c>
      <c r="B154" s="5">
        <v>43273</v>
      </c>
      <c r="C154" t="s">
        <v>93</v>
      </c>
      <c r="D154" s="40">
        <v>1850</v>
      </c>
      <c r="F154">
        <v>229</v>
      </c>
      <c r="G154" s="41">
        <v>43289</v>
      </c>
      <c r="H154" t="str">
        <v>TX</v>
      </c>
      <c r="I154">
        <v>1099</v>
      </c>
    </row>
    <row r="155" spans="1:9" x14ac:dyDescent="0.25">
      <c r="A155">
        <v>485</v>
      </c>
      <c r="B155" s="5">
        <v>43334</v>
      </c>
      <c r="C155" t="s">
        <v>94</v>
      </c>
      <c r="D155" s="40">
        <v>983</v>
      </c>
      <c r="F155">
        <v>399</v>
      </c>
      <c r="G155" s="41">
        <v>43320</v>
      </c>
      <c r="H155" t="str">
        <v>TX</v>
      </c>
      <c r="I155">
        <v>1733</v>
      </c>
    </row>
    <row r="156" spans="1:9" x14ac:dyDescent="0.25">
      <c r="A156">
        <v>6</v>
      </c>
      <c r="B156" s="5">
        <v>43253</v>
      </c>
      <c r="C156" t="s">
        <v>93</v>
      </c>
      <c r="D156" s="40">
        <v>1385</v>
      </c>
      <c r="F156">
        <v>299</v>
      </c>
      <c r="G156" s="41">
        <v>43301</v>
      </c>
      <c r="H156" t="str">
        <v>TX</v>
      </c>
      <c r="I156">
        <v>544</v>
      </c>
    </row>
    <row r="157" spans="1:9" x14ac:dyDescent="0.25">
      <c r="A157">
        <v>32</v>
      </c>
      <c r="B157" s="5">
        <v>43256</v>
      </c>
      <c r="C157" t="s">
        <v>92</v>
      </c>
      <c r="D157" s="40">
        <v>1745</v>
      </c>
      <c r="F157">
        <v>242</v>
      </c>
      <c r="G157" s="41">
        <v>43292</v>
      </c>
      <c r="H157" t="str">
        <v>CA</v>
      </c>
      <c r="I157">
        <v>944</v>
      </c>
    </row>
    <row r="158" spans="1:9" x14ac:dyDescent="0.25">
      <c r="A158">
        <v>334</v>
      </c>
      <c r="B158" s="5">
        <v>43307</v>
      </c>
      <c r="C158" t="s">
        <v>92</v>
      </c>
      <c r="D158" s="40">
        <v>774</v>
      </c>
      <c r="F158">
        <v>297</v>
      </c>
      <c r="G158" s="41">
        <v>43300</v>
      </c>
      <c r="H158" t="str">
        <v>CA</v>
      </c>
      <c r="I158">
        <v>1620</v>
      </c>
    </row>
    <row r="159" spans="1:9" x14ac:dyDescent="0.25">
      <c r="A159">
        <v>711</v>
      </c>
      <c r="B159" s="5">
        <v>43382</v>
      </c>
      <c r="C159" t="s">
        <v>93</v>
      </c>
      <c r="D159" s="40">
        <v>726</v>
      </c>
      <c r="F159">
        <v>461</v>
      </c>
      <c r="G159" s="41">
        <v>43331</v>
      </c>
      <c r="H159" t="str">
        <v>NY</v>
      </c>
      <c r="I159">
        <v>1594</v>
      </c>
    </row>
    <row r="160" spans="1:9" x14ac:dyDescent="0.25">
      <c r="A160">
        <v>851</v>
      </c>
      <c r="B160" s="5">
        <v>43409</v>
      </c>
      <c r="C160" t="s">
        <v>92</v>
      </c>
      <c r="D160" s="40">
        <v>1053</v>
      </c>
      <c r="F160">
        <v>419</v>
      </c>
      <c r="G160" s="41">
        <v>43323</v>
      </c>
      <c r="H160" t="str">
        <v>NY</v>
      </c>
      <c r="I160">
        <v>1024</v>
      </c>
    </row>
    <row r="161" spans="1:9" x14ac:dyDescent="0.25">
      <c r="A161">
        <v>134</v>
      </c>
      <c r="B161" s="5">
        <v>43273</v>
      </c>
      <c r="C161" t="s">
        <v>92</v>
      </c>
      <c r="D161" s="40">
        <v>1466</v>
      </c>
      <c r="F161">
        <v>241</v>
      </c>
      <c r="G161" s="41">
        <v>43292</v>
      </c>
      <c r="H161" t="str">
        <v>TX</v>
      </c>
      <c r="I161">
        <v>725</v>
      </c>
    </row>
    <row r="162" spans="1:9" x14ac:dyDescent="0.25">
      <c r="A162">
        <v>932</v>
      </c>
      <c r="B162" s="5">
        <v>43423</v>
      </c>
      <c r="C162" t="s">
        <v>94</v>
      </c>
      <c r="D162" s="40">
        <v>1399</v>
      </c>
      <c r="F162">
        <v>375</v>
      </c>
      <c r="G162" s="41">
        <v>43314</v>
      </c>
      <c r="H162" t="str">
        <v>TX</v>
      </c>
      <c r="I162">
        <v>1507</v>
      </c>
    </row>
    <row r="163" spans="1:9" x14ac:dyDescent="0.25">
      <c r="A163">
        <v>838</v>
      </c>
      <c r="B163" s="5">
        <v>43407</v>
      </c>
      <c r="C163" t="s">
        <v>93</v>
      </c>
      <c r="D163" s="40">
        <v>828</v>
      </c>
      <c r="F163">
        <v>384</v>
      </c>
      <c r="G163" s="41">
        <v>43316</v>
      </c>
      <c r="H163" t="str">
        <v>CA</v>
      </c>
      <c r="I163">
        <v>1238</v>
      </c>
    </row>
    <row r="164" spans="1:9" x14ac:dyDescent="0.25">
      <c r="A164">
        <v>907</v>
      </c>
      <c r="B164" s="5">
        <v>43419</v>
      </c>
      <c r="C164" t="s">
        <v>94</v>
      </c>
      <c r="D164" s="40">
        <v>1365</v>
      </c>
      <c r="F164">
        <v>484</v>
      </c>
      <c r="G164" s="41">
        <v>43334</v>
      </c>
      <c r="H164" t="str">
        <v>NY</v>
      </c>
      <c r="I164">
        <v>1373</v>
      </c>
    </row>
    <row r="165" spans="1:9" x14ac:dyDescent="0.25">
      <c r="A165">
        <v>457</v>
      </c>
      <c r="B165" s="5">
        <v>43330</v>
      </c>
      <c r="C165" t="s">
        <v>94</v>
      </c>
      <c r="D165" s="40">
        <v>876</v>
      </c>
      <c r="F165">
        <v>216</v>
      </c>
      <c r="G165" s="41">
        <v>43287</v>
      </c>
      <c r="H165" t="str">
        <v>TX</v>
      </c>
      <c r="I165">
        <v>1415</v>
      </c>
    </row>
    <row r="166" spans="1:9" x14ac:dyDescent="0.25">
      <c r="A166">
        <v>130</v>
      </c>
      <c r="B166" s="5">
        <v>43273</v>
      </c>
      <c r="C166" t="s">
        <v>93</v>
      </c>
      <c r="D166" s="40">
        <v>713</v>
      </c>
      <c r="F166">
        <v>329</v>
      </c>
      <c r="G166" s="41">
        <v>43305</v>
      </c>
      <c r="H166" t="str">
        <v>CA</v>
      </c>
      <c r="I166">
        <v>1878</v>
      </c>
    </row>
    <row r="167" spans="1:9" x14ac:dyDescent="0.25">
      <c r="A167">
        <v>519</v>
      </c>
      <c r="B167" s="5">
        <v>43342</v>
      </c>
      <c r="C167" t="s">
        <v>92</v>
      </c>
      <c r="D167" s="40">
        <v>1145</v>
      </c>
      <c r="F167">
        <v>427</v>
      </c>
      <c r="G167" s="41">
        <v>43325</v>
      </c>
      <c r="H167" t="str">
        <v>CA</v>
      </c>
      <c r="I167">
        <v>510</v>
      </c>
    </row>
    <row r="168" spans="1:9" x14ac:dyDescent="0.25">
      <c r="A168">
        <v>498</v>
      </c>
      <c r="B168" s="5">
        <v>43338</v>
      </c>
      <c r="C168" t="s">
        <v>92</v>
      </c>
      <c r="D168" s="40">
        <v>1597</v>
      </c>
      <c r="F168">
        <v>404</v>
      </c>
      <c r="G168" s="41">
        <v>43321</v>
      </c>
      <c r="H168" t="str">
        <v>NY</v>
      </c>
      <c r="I168">
        <v>1159</v>
      </c>
    </row>
    <row r="169" spans="1:9" x14ac:dyDescent="0.25">
      <c r="A169">
        <v>69</v>
      </c>
      <c r="B169" s="5">
        <v>43263</v>
      </c>
      <c r="C169" t="s">
        <v>93</v>
      </c>
      <c r="D169" s="40">
        <v>706</v>
      </c>
      <c r="F169">
        <v>279</v>
      </c>
      <c r="G169" s="41">
        <v>43297</v>
      </c>
      <c r="H169" t="str">
        <v>TX</v>
      </c>
      <c r="I169">
        <v>848</v>
      </c>
    </row>
    <row r="170" spans="1:9" x14ac:dyDescent="0.25">
      <c r="A170">
        <v>147</v>
      </c>
      <c r="B170" s="5">
        <v>43275</v>
      </c>
      <c r="C170" t="s">
        <v>94</v>
      </c>
      <c r="D170" s="40">
        <v>1986</v>
      </c>
      <c r="F170">
        <v>315</v>
      </c>
      <c r="G170" s="41">
        <v>43303</v>
      </c>
      <c r="H170" t="str">
        <v>CA</v>
      </c>
      <c r="I170">
        <v>1762</v>
      </c>
    </row>
    <row r="171" spans="1:9" x14ac:dyDescent="0.25">
      <c r="A171">
        <v>739</v>
      </c>
      <c r="B171" s="5">
        <v>43386</v>
      </c>
      <c r="C171" t="s">
        <v>93</v>
      </c>
      <c r="D171" s="40">
        <v>1384</v>
      </c>
      <c r="F171">
        <v>434</v>
      </c>
      <c r="G171" s="41">
        <v>43327</v>
      </c>
      <c r="H171" t="str">
        <v>TX</v>
      </c>
      <c r="I171">
        <v>1091</v>
      </c>
    </row>
    <row r="172" spans="1:9" x14ac:dyDescent="0.25">
      <c r="A172">
        <v>172</v>
      </c>
      <c r="B172" s="5">
        <v>43280</v>
      </c>
      <c r="C172" t="s">
        <v>92</v>
      </c>
      <c r="D172" s="40">
        <v>858</v>
      </c>
      <c r="F172">
        <v>447</v>
      </c>
      <c r="G172" s="41">
        <v>43328</v>
      </c>
      <c r="H172" t="str">
        <v>TX</v>
      </c>
      <c r="I172">
        <v>753</v>
      </c>
    </row>
    <row r="173" spans="1:9" x14ac:dyDescent="0.25">
      <c r="A173">
        <v>655</v>
      </c>
      <c r="B173" s="5">
        <v>43368</v>
      </c>
      <c r="C173" t="s">
        <v>94</v>
      </c>
      <c r="D173" s="40">
        <v>1378</v>
      </c>
      <c r="F173">
        <v>209</v>
      </c>
      <c r="G173" s="41">
        <v>43286</v>
      </c>
      <c r="H173" t="str">
        <v>TX</v>
      </c>
      <c r="I173">
        <v>1390</v>
      </c>
    </row>
    <row r="174" spans="1:9" x14ac:dyDescent="0.25">
      <c r="A174">
        <v>368</v>
      </c>
      <c r="B174" s="5">
        <v>43313</v>
      </c>
      <c r="C174" t="s">
        <v>92</v>
      </c>
      <c r="D174" s="40">
        <v>1460</v>
      </c>
      <c r="F174">
        <v>410</v>
      </c>
      <c r="G174" s="41">
        <v>43322</v>
      </c>
      <c r="H174" t="str">
        <v>CA</v>
      </c>
      <c r="I174">
        <v>1456</v>
      </c>
    </row>
    <row r="175" spans="1:9" x14ac:dyDescent="0.25">
      <c r="A175">
        <v>118</v>
      </c>
      <c r="B175" s="5">
        <v>43270</v>
      </c>
      <c r="C175" t="s">
        <v>92</v>
      </c>
      <c r="D175" s="40">
        <v>1285</v>
      </c>
      <c r="F175">
        <v>487</v>
      </c>
      <c r="G175" s="41">
        <v>43335</v>
      </c>
      <c r="H175" t="str">
        <v>TX</v>
      </c>
      <c r="I175">
        <v>700</v>
      </c>
    </row>
    <row r="176" spans="1:9" x14ac:dyDescent="0.25">
      <c r="A176">
        <v>852</v>
      </c>
      <c r="B176" s="5">
        <v>43410</v>
      </c>
      <c r="C176" t="s">
        <v>93</v>
      </c>
      <c r="D176" s="40">
        <v>1505</v>
      </c>
      <c r="F176">
        <v>286</v>
      </c>
      <c r="G176" s="41">
        <v>43298</v>
      </c>
      <c r="H176" t="str">
        <v>TX</v>
      </c>
      <c r="I176">
        <v>1455</v>
      </c>
    </row>
    <row r="177" spans="1:9" x14ac:dyDescent="0.25">
      <c r="A177">
        <v>572</v>
      </c>
      <c r="B177" s="5">
        <v>43350</v>
      </c>
      <c r="C177" t="s">
        <v>92</v>
      </c>
      <c r="D177" s="40">
        <v>1293</v>
      </c>
      <c r="F177">
        <v>288</v>
      </c>
      <c r="G177" s="41">
        <v>43298</v>
      </c>
      <c r="H177" t="str">
        <v>CA</v>
      </c>
      <c r="I177">
        <v>1616</v>
      </c>
    </row>
    <row r="178" spans="1:9" x14ac:dyDescent="0.25">
      <c r="A178">
        <v>123</v>
      </c>
      <c r="B178" s="5">
        <v>43271</v>
      </c>
      <c r="C178" t="s">
        <v>92</v>
      </c>
      <c r="D178" s="40">
        <v>1751</v>
      </c>
      <c r="F178">
        <v>365</v>
      </c>
      <c r="G178" s="41">
        <v>43313</v>
      </c>
      <c r="H178" t="str">
        <v>NY</v>
      </c>
      <c r="I178">
        <v>543</v>
      </c>
    </row>
    <row r="179" spans="1:9" x14ac:dyDescent="0.25">
      <c r="A179">
        <v>385</v>
      </c>
      <c r="B179" s="5">
        <v>43316</v>
      </c>
      <c r="C179" t="s">
        <v>92</v>
      </c>
      <c r="D179" s="40">
        <v>635</v>
      </c>
      <c r="F179">
        <v>478</v>
      </c>
      <c r="G179" s="41">
        <v>43334</v>
      </c>
      <c r="H179" t="str">
        <v>TX</v>
      </c>
      <c r="I179">
        <v>1481</v>
      </c>
    </row>
    <row r="180" spans="1:9" x14ac:dyDescent="0.25">
      <c r="A180">
        <v>68</v>
      </c>
      <c r="B180" s="5">
        <v>43263</v>
      </c>
      <c r="C180" t="s">
        <v>92</v>
      </c>
      <c r="D180" s="40">
        <v>1134</v>
      </c>
      <c r="F180">
        <v>424</v>
      </c>
      <c r="G180" s="41">
        <v>43324</v>
      </c>
      <c r="H180" t="str">
        <v>CA</v>
      </c>
      <c r="I180">
        <v>1613</v>
      </c>
    </row>
    <row r="181" spans="1:9" x14ac:dyDescent="0.25">
      <c r="A181">
        <v>177</v>
      </c>
      <c r="B181" s="5">
        <v>43281</v>
      </c>
      <c r="C181" t="s">
        <v>94</v>
      </c>
      <c r="D181" s="40">
        <v>1492</v>
      </c>
      <c r="F181">
        <v>450</v>
      </c>
      <c r="G181" s="41">
        <v>43329</v>
      </c>
      <c r="H181" t="str">
        <v>TX</v>
      </c>
      <c r="I181">
        <v>1845</v>
      </c>
    </row>
    <row r="182" spans="1:9" x14ac:dyDescent="0.25">
      <c r="A182">
        <v>426</v>
      </c>
      <c r="B182" s="5">
        <v>43325</v>
      </c>
      <c r="C182" t="s">
        <v>92</v>
      </c>
      <c r="D182" s="40">
        <v>1680</v>
      </c>
      <c r="F182">
        <v>412</v>
      </c>
      <c r="G182" s="41">
        <v>43322</v>
      </c>
      <c r="H182" t="str">
        <v>NY</v>
      </c>
      <c r="I182">
        <v>861</v>
      </c>
    </row>
    <row r="183" spans="1:9" x14ac:dyDescent="0.25">
      <c r="A183">
        <v>200</v>
      </c>
      <c r="B183" s="5">
        <v>43285</v>
      </c>
      <c r="C183" t="s">
        <v>93</v>
      </c>
      <c r="D183" s="40">
        <v>807</v>
      </c>
      <c r="F183">
        <v>354</v>
      </c>
      <c r="G183" s="41">
        <v>43311</v>
      </c>
      <c r="H183" t="str">
        <v>TX</v>
      </c>
      <c r="I183">
        <v>583</v>
      </c>
    </row>
    <row r="184" spans="1:9" x14ac:dyDescent="0.25">
      <c r="A184">
        <v>341</v>
      </c>
      <c r="B184" s="5">
        <v>43308</v>
      </c>
      <c r="C184" t="s">
        <v>92</v>
      </c>
      <c r="D184" s="40">
        <v>1741</v>
      </c>
      <c r="F184">
        <v>221</v>
      </c>
      <c r="G184" s="41">
        <v>43288</v>
      </c>
      <c r="H184" t="str">
        <v>CA</v>
      </c>
      <c r="I184">
        <v>1653</v>
      </c>
    </row>
    <row r="185" spans="1:9" x14ac:dyDescent="0.25">
      <c r="A185">
        <v>247</v>
      </c>
      <c r="B185" s="5">
        <v>43292</v>
      </c>
      <c r="C185" t="s">
        <v>93</v>
      </c>
      <c r="D185" s="40">
        <v>1203</v>
      </c>
      <c r="F185">
        <v>441</v>
      </c>
      <c r="G185" s="41">
        <v>43328</v>
      </c>
      <c r="H185" t="str">
        <v>TX</v>
      </c>
      <c r="I185">
        <v>700</v>
      </c>
    </row>
    <row r="186" spans="1:9" x14ac:dyDescent="0.25">
      <c r="A186">
        <v>346</v>
      </c>
      <c r="B186" s="5">
        <v>43310</v>
      </c>
      <c r="C186" t="s">
        <v>93</v>
      </c>
      <c r="D186" s="40">
        <v>1701</v>
      </c>
      <c r="F186">
        <v>415</v>
      </c>
      <c r="G186" s="41">
        <v>43323</v>
      </c>
      <c r="H186" t="str">
        <v>NY</v>
      </c>
      <c r="I186">
        <v>1260</v>
      </c>
    </row>
    <row r="187" spans="1:9" x14ac:dyDescent="0.25">
      <c r="A187">
        <v>132</v>
      </c>
      <c r="B187" s="5">
        <v>43273</v>
      </c>
      <c r="C187" t="s">
        <v>93</v>
      </c>
      <c r="D187" s="40">
        <v>1076</v>
      </c>
      <c r="F187">
        <v>255</v>
      </c>
      <c r="G187" s="41">
        <v>43294</v>
      </c>
      <c r="H187" t="str">
        <v>NY</v>
      </c>
      <c r="I187">
        <v>1243</v>
      </c>
    </row>
    <row r="188" spans="1:9" x14ac:dyDescent="0.25">
      <c r="A188">
        <v>37</v>
      </c>
      <c r="B188" s="5">
        <v>43257</v>
      </c>
      <c r="C188" t="s">
        <v>94</v>
      </c>
      <c r="D188" s="40">
        <v>1078</v>
      </c>
      <c r="F188">
        <v>231</v>
      </c>
      <c r="G188" s="41">
        <v>43289</v>
      </c>
      <c r="H188" t="str">
        <v>TX</v>
      </c>
      <c r="I188">
        <v>866</v>
      </c>
    </row>
    <row r="189" spans="1:9" x14ac:dyDescent="0.25">
      <c r="A189">
        <v>245</v>
      </c>
      <c r="B189" s="5">
        <v>43292</v>
      </c>
      <c r="C189" t="s">
        <v>93</v>
      </c>
      <c r="D189" s="40">
        <v>671</v>
      </c>
      <c r="F189">
        <v>448</v>
      </c>
      <c r="G189" s="41">
        <v>43329</v>
      </c>
      <c r="H189" t="str">
        <v>NY</v>
      </c>
      <c r="I189">
        <v>891</v>
      </c>
    </row>
    <row r="190" spans="1:9" x14ac:dyDescent="0.25">
      <c r="A190">
        <v>387</v>
      </c>
      <c r="B190" s="5">
        <v>43317</v>
      </c>
      <c r="C190" t="s">
        <v>92</v>
      </c>
      <c r="D190" s="40">
        <v>1605</v>
      </c>
      <c r="F190">
        <v>437</v>
      </c>
      <c r="G190" s="41">
        <v>43327</v>
      </c>
      <c r="H190" t="str">
        <v>TX</v>
      </c>
      <c r="I190">
        <v>1236</v>
      </c>
    </row>
    <row r="191" spans="1:9" x14ac:dyDescent="0.25">
      <c r="A191">
        <v>113</v>
      </c>
      <c r="B191" s="5">
        <v>43269</v>
      </c>
      <c r="C191" t="s">
        <v>92</v>
      </c>
      <c r="D191" s="40">
        <v>542</v>
      </c>
      <c r="F191">
        <v>259</v>
      </c>
      <c r="G191" s="41">
        <v>43295</v>
      </c>
      <c r="H191" t="str">
        <v>NY</v>
      </c>
      <c r="I191">
        <v>755</v>
      </c>
    </row>
    <row r="192" spans="1:9" x14ac:dyDescent="0.25">
      <c r="A192">
        <v>915</v>
      </c>
      <c r="B192" s="5">
        <v>43420</v>
      </c>
      <c r="C192" t="s">
        <v>93</v>
      </c>
      <c r="D192" s="40">
        <v>1672</v>
      </c>
      <c r="F192">
        <v>303</v>
      </c>
      <c r="G192" s="41">
        <v>43301</v>
      </c>
      <c r="H192" t="str">
        <v>NY</v>
      </c>
      <c r="I192">
        <v>991</v>
      </c>
    </row>
    <row r="193" spans="1:9" x14ac:dyDescent="0.25">
      <c r="A193">
        <v>175</v>
      </c>
      <c r="B193" s="5">
        <v>43280</v>
      </c>
      <c r="C193" t="s">
        <v>93</v>
      </c>
      <c r="D193" s="40">
        <v>1610</v>
      </c>
      <c r="F193">
        <v>486</v>
      </c>
      <c r="G193" s="41">
        <v>43334</v>
      </c>
      <c r="H193" t="str">
        <v>NY</v>
      </c>
      <c r="I193">
        <v>870</v>
      </c>
    </row>
    <row r="194" spans="1:9" x14ac:dyDescent="0.25">
      <c r="A194">
        <v>821</v>
      </c>
      <c r="B194" s="5">
        <v>43402</v>
      </c>
      <c r="C194" t="s">
        <v>93</v>
      </c>
      <c r="D194" s="40">
        <v>742</v>
      </c>
      <c r="F194">
        <v>489</v>
      </c>
      <c r="G194" s="41">
        <v>43335</v>
      </c>
      <c r="H194" t="str">
        <v>TX</v>
      </c>
      <c r="I194">
        <v>1465</v>
      </c>
    </row>
    <row r="195" spans="1:9" x14ac:dyDescent="0.25">
      <c r="A195">
        <v>35</v>
      </c>
      <c r="B195" s="5">
        <v>43257</v>
      </c>
      <c r="C195" t="s">
        <v>94</v>
      </c>
      <c r="D195" s="40">
        <v>1117</v>
      </c>
      <c r="F195">
        <v>439</v>
      </c>
      <c r="G195" s="41">
        <v>43327</v>
      </c>
      <c r="H195" t="str">
        <v>TX</v>
      </c>
      <c r="I195">
        <v>1458</v>
      </c>
    </row>
    <row r="196" spans="1:9" x14ac:dyDescent="0.25">
      <c r="A196">
        <v>20</v>
      </c>
      <c r="B196" s="5">
        <v>43254</v>
      </c>
      <c r="C196" t="s">
        <v>93</v>
      </c>
      <c r="D196" s="40">
        <v>1375</v>
      </c>
      <c r="F196">
        <v>246</v>
      </c>
      <c r="G196" s="41">
        <v>43292</v>
      </c>
      <c r="H196" t="str">
        <v>TX</v>
      </c>
      <c r="I196">
        <v>651</v>
      </c>
    </row>
    <row r="197" spans="1:9" x14ac:dyDescent="0.25">
      <c r="A197">
        <v>41</v>
      </c>
      <c r="B197" s="5">
        <v>43257</v>
      </c>
      <c r="C197" t="s">
        <v>92</v>
      </c>
      <c r="D197" s="40">
        <v>1142</v>
      </c>
      <c r="F197">
        <v>459</v>
      </c>
      <c r="G197" s="41">
        <v>43331</v>
      </c>
      <c r="H197" t="str">
        <v>TX</v>
      </c>
      <c r="I197">
        <v>1665</v>
      </c>
    </row>
    <row r="198" spans="1:9" x14ac:dyDescent="0.25">
      <c r="A198">
        <v>408</v>
      </c>
      <c r="B198" s="5">
        <v>43322</v>
      </c>
      <c r="C198" t="s">
        <v>93</v>
      </c>
      <c r="D198" s="40">
        <v>517</v>
      </c>
      <c r="F198">
        <v>407</v>
      </c>
      <c r="G198" s="41">
        <v>43322</v>
      </c>
      <c r="H198" t="str">
        <v>NY</v>
      </c>
      <c r="I198">
        <v>1815</v>
      </c>
    </row>
    <row r="199" spans="1:9" x14ac:dyDescent="0.25">
      <c r="A199">
        <v>653</v>
      </c>
      <c r="B199" s="5">
        <v>43367</v>
      </c>
      <c r="C199" t="s">
        <v>93</v>
      </c>
      <c r="D199" s="40">
        <v>980</v>
      </c>
      <c r="F199">
        <v>327</v>
      </c>
      <c r="G199" s="41">
        <v>43305</v>
      </c>
      <c r="H199" t="str">
        <v>TX</v>
      </c>
      <c r="I199">
        <v>851</v>
      </c>
    </row>
    <row r="200" spans="1:9" x14ac:dyDescent="0.25">
      <c r="A200">
        <v>517</v>
      </c>
      <c r="B200" s="5">
        <v>43342</v>
      </c>
      <c r="C200" t="s">
        <v>92</v>
      </c>
      <c r="D200" s="40">
        <v>1695</v>
      </c>
      <c r="F200">
        <v>512</v>
      </c>
      <c r="G200" s="41">
        <v>43340</v>
      </c>
      <c r="H200" t="str">
        <v>CA</v>
      </c>
      <c r="I200">
        <v>1068</v>
      </c>
    </row>
    <row r="201" spans="1:9" x14ac:dyDescent="0.25">
      <c r="A201">
        <v>316</v>
      </c>
      <c r="B201" s="5">
        <v>43304</v>
      </c>
      <c r="C201" t="s">
        <v>93</v>
      </c>
      <c r="D201" s="40">
        <v>1391</v>
      </c>
      <c r="F201">
        <v>362</v>
      </c>
      <c r="G201" s="41">
        <v>43312</v>
      </c>
      <c r="H201" t="str">
        <v>NY</v>
      </c>
      <c r="I201">
        <v>1105</v>
      </c>
    </row>
    <row r="202" spans="1:9" x14ac:dyDescent="0.25">
      <c r="A202">
        <v>874</v>
      </c>
      <c r="B202" s="5">
        <v>43414</v>
      </c>
      <c r="C202" t="s">
        <v>92</v>
      </c>
      <c r="D202" s="40">
        <v>500</v>
      </c>
      <c r="F202">
        <v>195</v>
      </c>
      <c r="G202" s="41">
        <v>43283</v>
      </c>
      <c r="H202" t="str">
        <v>CA</v>
      </c>
      <c r="I202">
        <v>1421</v>
      </c>
    </row>
    <row r="203" spans="1:9" x14ac:dyDescent="0.25">
      <c r="A203">
        <v>674</v>
      </c>
      <c r="B203" s="5">
        <v>43372</v>
      </c>
      <c r="C203" t="s">
        <v>93</v>
      </c>
      <c r="D203" s="40">
        <v>857</v>
      </c>
      <c r="F203">
        <v>505</v>
      </c>
      <c r="G203" s="41">
        <v>43339</v>
      </c>
      <c r="H203" t="str">
        <v>CA</v>
      </c>
      <c r="I203">
        <v>1248</v>
      </c>
    </row>
    <row r="204" spans="1:9" x14ac:dyDescent="0.25">
      <c r="A204">
        <v>888</v>
      </c>
      <c r="B204" s="5">
        <v>43416</v>
      </c>
      <c r="C204" t="s">
        <v>92</v>
      </c>
      <c r="D204" s="40">
        <v>1089</v>
      </c>
      <c r="F204">
        <v>272</v>
      </c>
      <c r="G204" s="41">
        <v>43296</v>
      </c>
      <c r="H204" t="str">
        <v>NY</v>
      </c>
      <c r="I204">
        <v>1180</v>
      </c>
    </row>
    <row r="205" spans="1:9" x14ac:dyDescent="0.25">
      <c r="A205">
        <v>449</v>
      </c>
      <c r="B205" s="5">
        <v>43329</v>
      </c>
      <c r="C205" t="s">
        <v>94</v>
      </c>
      <c r="D205" s="40">
        <v>687</v>
      </c>
      <c r="F205">
        <v>455</v>
      </c>
      <c r="G205" s="41">
        <v>43330</v>
      </c>
      <c r="H205" t="str">
        <v>NY</v>
      </c>
      <c r="I205">
        <v>1038</v>
      </c>
    </row>
    <row r="206" spans="1:9" x14ac:dyDescent="0.25">
      <c r="A206">
        <v>708</v>
      </c>
      <c r="B206" s="5">
        <v>43382</v>
      </c>
      <c r="C206" t="s">
        <v>93</v>
      </c>
      <c r="D206" s="40">
        <v>1547</v>
      </c>
      <c r="F206">
        <v>371</v>
      </c>
      <c r="G206" s="41">
        <v>43313</v>
      </c>
      <c r="H206" t="str">
        <v>CA</v>
      </c>
      <c r="I206">
        <v>745</v>
      </c>
    </row>
    <row r="207" spans="1:9" x14ac:dyDescent="0.25">
      <c r="A207">
        <v>615</v>
      </c>
      <c r="B207" s="5">
        <v>43361</v>
      </c>
      <c r="C207" t="s">
        <v>94</v>
      </c>
      <c r="D207" s="40">
        <v>1964</v>
      </c>
      <c r="F207">
        <v>335</v>
      </c>
      <c r="G207" s="41">
        <v>43307</v>
      </c>
      <c r="H207" t="str">
        <v>NY</v>
      </c>
      <c r="I207">
        <v>1463</v>
      </c>
    </row>
    <row r="208" spans="1:9" x14ac:dyDescent="0.25">
      <c r="A208">
        <v>400</v>
      </c>
      <c r="B208" s="5">
        <v>43320</v>
      </c>
      <c r="C208" t="s">
        <v>92</v>
      </c>
      <c r="D208" s="40">
        <v>1259</v>
      </c>
      <c r="F208">
        <v>398</v>
      </c>
      <c r="G208" s="41">
        <v>43320</v>
      </c>
      <c r="H208" t="str">
        <v>TX</v>
      </c>
      <c r="I208">
        <v>1246</v>
      </c>
    </row>
    <row r="209" spans="1:9" x14ac:dyDescent="0.25">
      <c r="A209">
        <v>875</v>
      </c>
      <c r="B209" s="5">
        <v>43414</v>
      </c>
      <c r="C209" t="s">
        <v>92</v>
      </c>
      <c r="D209" s="40">
        <v>608</v>
      </c>
      <c r="F209">
        <v>445</v>
      </c>
      <c r="G209" s="41">
        <v>43328</v>
      </c>
      <c r="H209" t="str">
        <v>CA</v>
      </c>
      <c r="I209">
        <v>1113</v>
      </c>
    </row>
    <row r="210" spans="1:9" x14ac:dyDescent="0.25">
      <c r="A210">
        <v>392</v>
      </c>
      <c r="B210" s="5">
        <v>43318</v>
      </c>
      <c r="C210" t="s">
        <v>92</v>
      </c>
      <c r="D210" s="40">
        <v>1528</v>
      </c>
      <c r="F210">
        <v>343</v>
      </c>
      <c r="G210" s="41">
        <v>43309</v>
      </c>
      <c r="H210" t="str">
        <v>TX</v>
      </c>
      <c r="I210">
        <v>1026</v>
      </c>
    </row>
    <row r="211" spans="1:9" x14ac:dyDescent="0.25">
      <c r="A211">
        <v>325</v>
      </c>
      <c r="B211" s="5">
        <v>43305</v>
      </c>
      <c r="C211" t="s">
        <v>93</v>
      </c>
      <c r="D211" s="40">
        <v>1067</v>
      </c>
      <c r="F211">
        <v>198</v>
      </c>
      <c r="G211" s="41">
        <v>43284</v>
      </c>
      <c r="H211" t="str">
        <v>TX</v>
      </c>
      <c r="I211">
        <v>1700</v>
      </c>
    </row>
    <row r="212" spans="1:9" x14ac:dyDescent="0.25">
      <c r="A212">
        <v>233</v>
      </c>
      <c r="B212" s="5">
        <v>43290</v>
      </c>
      <c r="C212" t="s">
        <v>94</v>
      </c>
      <c r="D212" s="40">
        <v>740</v>
      </c>
      <c r="F212">
        <v>358</v>
      </c>
      <c r="G212" s="41">
        <v>43311</v>
      </c>
      <c r="H212" t="str">
        <v>TX</v>
      </c>
      <c r="I212">
        <v>1801</v>
      </c>
    </row>
    <row r="213" spans="1:9" x14ac:dyDescent="0.25">
      <c r="A213">
        <v>683</v>
      </c>
      <c r="B213" s="5">
        <v>43375</v>
      </c>
      <c r="C213" t="s">
        <v>93</v>
      </c>
      <c r="D213" s="40">
        <v>999</v>
      </c>
      <c r="F213">
        <v>366</v>
      </c>
      <c r="G213" s="41">
        <v>43313</v>
      </c>
      <c r="H213" t="str">
        <v>TX</v>
      </c>
      <c r="I213">
        <v>1742</v>
      </c>
    </row>
    <row r="214" spans="1:9" x14ac:dyDescent="0.25">
      <c r="A214">
        <v>223</v>
      </c>
      <c r="B214" s="5">
        <v>43288</v>
      </c>
      <c r="C214" t="s">
        <v>93</v>
      </c>
      <c r="D214" s="40">
        <v>876</v>
      </c>
      <c r="F214">
        <v>495</v>
      </c>
      <c r="G214" s="41">
        <v>43338</v>
      </c>
      <c r="H214" t="str">
        <v>TX</v>
      </c>
      <c r="I214">
        <v>1343</v>
      </c>
    </row>
    <row r="215" spans="1:9" x14ac:dyDescent="0.25">
      <c r="A215">
        <v>64</v>
      </c>
      <c r="B215" s="5">
        <v>43261</v>
      </c>
      <c r="C215" t="s">
        <v>92</v>
      </c>
      <c r="D215" s="40">
        <v>1954</v>
      </c>
      <c r="F215">
        <v>493</v>
      </c>
      <c r="G215" s="41">
        <v>43336</v>
      </c>
      <c r="H215" t="str">
        <v>CA</v>
      </c>
      <c r="I215">
        <v>746</v>
      </c>
    </row>
    <row r="216" spans="1:9" x14ac:dyDescent="0.25">
      <c r="A216">
        <v>251</v>
      </c>
      <c r="B216" s="5">
        <v>43293</v>
      </c>
      <c r="C216" t="s">
        <v>92</v>
      </c>
      <c r="D216" s="40">
        <v>1640</v>
      </c>
      <c r="F216">
        <v>330</v>
      </c>
      <c r="G216" s="41">
        <v>43306</v>
      </c>
      <c r="H216" t="str">
        <v>TX</v>
      </c>
      <c r="I216">
        <v>899</v>
      </c>
    </row>
    <row r="217" spans="1:9" x14ac:dyDescent="0.25">
      <c r="A217">
        <v>924</v>
      </c>
      <c r="B217" s="5">
        <v>43421</v>
      </c>
      <c r="C217" t="s">
        <v>94</v>
      </c>
      <c r="D217" s="40">
        <v>903</v>
      </c>
      <c r="F217">
        <v>187</v>
      </c>
      <c r="G217" s="41">
        <v>43283</v>
      </c>
      <c r="H217" t="str">
        <v>CA</v>
      </c>
      <c r="I217">
        <v>921</v>
      </c>
    </row>
    <row r="218" spans="1:9" x14ac:dyDescent="0.25">
      <c r="A218">
        <v>547</v>
      </c>
      <c r="B218" s="5">
        <v>43347</v>
      </c>
      <c r="C218" t="s">
        <v>94</v>
      </c>
      <c r="D218" s="40">
        <v>1573</v>
      </c>
      <c r="F218">
        <v>249</v>
      </c>
      <c r="G218" s="41">
        <v>43293</v>
      </c>
      <c r="H218" t="str">
        <v>CA</v>
      </c>
      <c r="I218">
        <v>1363</v>
      </c>
    </row>
    <row r="219" spans="1:9" x14ac:dyDescent="0.25">
      <c r="A219">
        <v>686</v>
      </c>
      <c r="B219" s="5">
        <v>43376</v>
      </c>
      <c r="C219" t="s">
        <v>93</v>
      </c>
      <c r="D219" s="40">
        <v>1945</v>
      </c>
      <c r="F219">
        <v>313</v>
      </c>
      <c r="G219" s="41">
        <v>43303</v>
      </c>
      <c r="H219" t="str">
        <v>NY</v>
      </c>
      <c r="I219">
        <v>1373</v>
      </c>
    </row>
    <row r="220" spans="1:9" x14ac:dyDescent="0.25">
      <c r="A220">
        <v>466</v>
      </c>
      <c r="B220" s="5">
        <v>43332</v>
      </c>
      <c r="C220" t="s">
        <v>93</v>
      </c>
      <c r="D220" s="40">
        <v>1561</v>
      </c>
      <c r="F220">
        <v>405</v>
      </c>
      <c r="G220" s="41">
        <v>43321</v>
      </c>
      <c r="H220" t="str">
        <v>CA</v>
      </c>
      <c r="I220">
        <v>1386</v>
      </c>
    </row>
    <row r="221" spans="1:9" x14ac:dyDescent="0.25">
      <c r="A221">
        <v>976</v>
      </c>
      <c r="B221" s="5">
        <v>43431</v>
      </c>
      <c r="C221" t="s">
        <v>93</v>
      </c>
      <c r="D221" s="40">
        <v>1894</v>
      </c>
      <c r="F221">
        <v>374</v>
      </c>
      <c r="G221" s="41">
        <v>43314</v>
      </c>
      <c r="H221" t="str">
        <v>CA</v>
      </c>
      <c r="I221">
        <v>1022</v>
      </c>
    </row>
    <row r="222" spans="1:9" x14ac:dyDescent="0.25">
      <c r="A222">
        <v>803</v>
      </c>
      <c r="B222" s="5">
        <v>43398</v>
      </c>
      <c r="C222" t="s">
        <v>92</v>
      </c>
      <c r="D222" s="40">
        <v>1898</v>
      </c>
      <c r="F222">
        <v>464</v>
      </c>
      <c r="G222" s="41">
        <v>43332</v>
      </c>
      <c r="H222" t="str">
        <v>CA</v>
      </c>
      <c r="I222">
        <v>1188</v>
      </c>
    </row>
    <row r="223" spans="1:9" x14ac:dyDescent="0.25">
      <c r="A223">
        <v>656</v>
      </c>
      <c r="B223" s="5">
        <v>43368</v>
      </c>
      <c r="C223" t="s">
        <v>94</v>
      </c>
      <c r="D223" s="40">
        <v>1191</v>
      </c>
      <c r="F223">
        <v>453</v>
      </c>
      <c r="G223" s="41">
        <v>43330</v>
      </c>
      <c r="H223" t="str">
        <v>NY</v>
      </c>
      <c r="I223">
        <v>898</v>
      </c>
    </row>
    <row r="224" spans="1:9" x14ac:dyDescent="0.25">
      <c r="A224">
        <v>169</v>
      </c>
      <c r="B224" s="5">
        <v>43279</v>
      </c>
      <c r="C224" t="s">
        <v>93</v>
      </c>
      <c r="D224" s="40">
        <v>1213</v>
      </c>
      <c r="F224">
        <v>470</v>
      </c>
      <c r="G224" s="41">
        <v>43332</v>
      </c>
      <c r="H224" t="str">
        <v>TX</v>
      </c>
      <c r="I224">
        <v>1975</v>
      </c>
    </row>
    <row r="225" spans="1:9" x14ac:dyDescent="0.25">
      <c r="A225">
        <v>52</v>
      </c>
      <c r="B225" s="5">
        <v>43260</v>
      </c>
      <c r="C225" t="s">
        <v>94</v>
      </c>
      <c r="D225" s="40">
        <v>1402</v>
      </c>
      <c r="F225">
        <v>269</v>
      </c>
      <c r="G225" s="41">
        <v>43296</v>
      </c>
      <c r="H225" t="str">
        <v>NY</v>
      </c>
      <c r="I225">
        <v>1136</v>
      </c>
    </row>
    <row r="226" spans="1:9" x14ac:dyDescent="0.25">
      <c r="A226">
        <v>914</v>
      </c>
      <c r="B226" s="5">
        <v>43420</v>
      </c>
      <c r="C226" t="s">
        <v>92</v>
      </c>
      <c r="D226" s="40">
        <v>1536</v>
      </c>
      <c r="F226">
        <v>296</v>
      </c>
      <c r="G226" s="41">
        <v>43300</v>
      </c>
      <c r="H226" t="str">
        <v>NY</v>
      </c>
      <c r="I226">
        <v>1695</v>
      </c>
    </row>
    <row r="227" spans="1:9" x14ac:dyDescent="0.25">
      <c r="A227">
        <v>651</v>
      </c>
      <c r="B227" s="5">
        <v>43367</v>
      </c>
      <c r="C227" t="s">
        <v>94</v>
      </c>
      <c r="D227" s="40">
        <v>605</v>
      </c>
      <c r="F227">
        <v>321</v>
      </c>
      <c r="G227" s="41">
        <v>43304</v>
      </c>
      <c r="H227" t="str">
        <v>TX</v>
      </c>
      <c r="I227">
        <v>778</v>
      </c>
    </row>
    <row r="228" spans="1:9" x14ac:dyDescent="0.25">
      <c r="A228">
        <v>637</v>
      </c>
      <c r="B228" s="5">
        <v>43365</v>
      </c>
      <c r="C228" t="s">
        <v>93</v>
      </c>
      <c r="D228" s="40">
        <v>1281</v>
      </c>
      <c r="F228">
        <v>386</v>
      </c>
      <c r="G228" s="41">
        <v>43317</v>
      </c>
      <c r="H228" t="str">
        <v>TX</v>
      </c>
      <c r="I228">
        <v>1513</v>
      </c>
    </row>
    <row r="229" spans="1:9" x14ac:dyDescent="0.25">
      <c r="A229">
        <v>771</v>
      </c>
      <c r="B229" s="5">
        <v>43392</v>
      </c>
      <c r="C229" t="s">
        <v>93</v>
      </c>
      <c r="D229" s="40">
        <v>1426</v>
      </c>
      <c r="F229">
        <v>510</v>
      </c>
      <c r="G229" s="41">
        <v>43339</v>
      </c>
      <c r="H229" t="str">
        <v>NY</v>
      </c>
      <c r="I229">
        <v>1648</v>
      </c>
    </row>
    <row r="230" spans="1:9" x14ac:dyDescent="0.25">
      <c r="A230">
        <v>307</v>
      </c>
      <c r="B230" s="5">
        <v>43302</v>
      </c>
      <c r="C230" t="s">
        <v>93</v>
      </c>
      <c r="D230" s="40">
        <v>1832</v>
      </c>
      <c r="F230">
        <v>182</v>
      </c>
      <c r="G230" s="41">
        <v>43282</v>
      </c>
      <c r="H230" t="str">
        <v>CA</v>
      </c>
      <c r="I230">
        <v>1257</v>
      </c>
    </row>
    <row r="231" spans="1:9" x14ac:dyDescent="0.25">
      <c r="A231">
        <v>167</v>
      </c>
      <c r="B231" s="5">
        <v>43279</v>
      </c>
      <c r="C231" t="s">
        <v>93</v>
      </c>
      <c r="D231" s="40">
        <v>1035</v>
      </c>
      <c r="F231">
        <v>359</v>
      </c>
      <c r="G231" s="41">
        <v>43311</v>
      </c>
      <c r="H231" t="str">
        <v>TX</v>
      </c>
      <c r="I231">
        <v>773</v>
      </c>
    </row>
    <row r="232" spans="1:9" x14ac:dyDescent="0.25">
      <c r="A232">
        <v>311</v>
      </c>
      <c r="B232" s="5">
        <v>43303</v>
      </c>
      <c r="C232" t="s">
        <v>93</v>
      </c>
      <c r="D232" s="40">
        <v>1350</v>
      </c>
      <c r="F232">
        <v>522</v>
      </c>
      <c r="G232" s="41">
        <v>43343</v>
      </c>
      <c r="H232" t="str">
        <v>NY</v>
      </c>
      <c r="I232">
        <v>1332</v>
      </c>
    </row>
    <row r="233" spans="1:9" x14ac:dyDescent="0.25">
      <c r="A233">
        <v>377</v>
      </c>
      <c r="B233" s="5">
        <v>43314</v>
      </c>
      <c r="C233" t="s">
        <v>92</v>
      </c>
      <c r="D233" s="40">
        <v>1284</v>
      </c>
      <c r="F233">
        <v>462</v>
      </c>
      <c r="G233" s="41">
        <v>43331</v>
      </c>
      <c r="H233" t="str">
        <v>NY</v>
      </c>
      <c r="I233">
        <v>712</v>
      </c>
    </row>
    <row r="234" spans="1:9" x14ac:dyDescent="0.25">
      <c r="A234">
        <v>816</v>
      </c>
      <c r="B234" s="5">
        <v>43402</v>
      </c>
      <c r="C234" t="s">
        <v>93</v>
      </c>
      <c r="D234" s="40">
        <v>1925</v>
      </c>
      <c r="F234">
        <v>312</v>
      </c>
      <c r="G234" s="41">
        <v>43303</v>
      </c>
      <c r="H234" t="str">
        <v>NY</v>
      </c>
      <c r="I234">
        <v>970</v>
      </c>
    </row>
    <row r="235" spans="1:9" x14ac:dyDescent="0.25">
      <c r="A235">
        <v>378</v>
      </c>
      <c r="B235" s="5">
        <v>43315</v>
      </c>
      <c r="C235" t="s">
        <v>94</v>
      </c>
      <c r="D235" s="40">
        <v>1731</v>
      </c>
      <c r="F235">
        <v>328</v>
      </c>
      <c r="G235" s="41">
        <v>43305</v>
      </c>
      <c r="H235" t="str">
        <v>TX</v>
      </c>
      <c r="I235">
        <v>1050</v>
      </c>
    </row>
    <row r="236" spans="1:9" x14ac:dyDescent="0.25">
      <c r="A236">
        <v>326</v>
      </c>
      <c r="B236" s="5">
        <v>43305</v>
      </c>
      <c r="C236" t="s">
        <v>93</v>
      </c>
      <c r="D236" s="40">
        <v>1980</v>
      </c>
      <c r="F236">
        <v>352</v>
      </c>
      <c r="G236" s="41">
        <v>43311</v>
      </c>
      <c r="H236" t="str">
        <v>NY</v>
      </c>
      <c r="I236">
        <v>1855</v>
      </c>
    </row>
    <row r="237" spans="1:9" x14ac:dyDescent="0.25">
      <c r="A237">
        <v>549</v>
      </c>
      <c r="B237" s="5">
        <v>43347</v>
      </c>
      <c r="C237" t="s">
        <v>93</v>
      </c>
      <c r="D237" s="40">
        <v>653</v>
      </c>
      <c r="F237">
        <v>234</v>
      </c>
      <c r="G237" s="41">
        <v>43291</v>
      </c>
      <c r="H237" t="str">
        <v>TX</v>
      </c>
      <c r="I237">
        <v>1949</v>
      </c>
    </row>
    <row r="238" spans="1:9" x14ac:dyDescent="0.25">
      <c r="A238">
        <v>140</v>
      </c>
      <c r="B238" s="5">
        <v>43274</v>
      </c>
      <c r="C238" t="s">
        <v>92</v>
      </c>
      <c r="D238" s="40">
        <v>603</v>
      </c>
      <c r="F238">
        <v>295</v>
      </c>
      <c r="G238" s="41">
        <v>43300</v>
      </c>
      <c r="H238" t="str">
        <v>TX</v>
      </c>
      <c r="I238">
        <v>1747</v>
      </c>
    </row>
    <row r="239" spans="1:9" x14ac:dyDescent="0.25">
      <c r="A239">
        <v>925</v>
      </c>
      <c r="B239" s="5">
        <v>43422</v>
      </c>
      <c r="C239" t="s">
        <v>92</v>
      </c>
      <c r="D239" s="40">
        <v>1031</v>
      </c>
      <c r="F239">
        <v>502</v>
      </c>
      <c r="G239" s="41">
        <v>43339</v>
      </c>
      <c r="H239" t="str">
        <v>TX</v>
      </c>
      <c r="I239">
        <v>732</v>
      </c>
    </row>
    <row r="240" spans="1:9" x14ac:dyDescent="0.25">
      <c r="A240">
        <v>126</v>
      </c>
      <c r="B240" s="5">
        <v>43272</v>
      </c>
      <c r="C240" t="s">
        <v>94</v>
      </c>
      <c r="D240" s="40">
        <v>720</v>
      </c>
      <c r="F240">
        <v>425</v>
      </c>
      <c r="G240" s="41">
        <v>43324</v>
      </c>
      <c r="H240" t="str">
        <v>CA</v>
      </c>
      <c r="I240">
        <v>684</v>
      </c>
    </row>
    <row r="241" spans="1:9" x14ac:dyDescent="0.25">
      <c r="A241">
        <v>840</v>
      </c>
      <c r="B241" s="5">
        <v>43407</v>
      </c>
      <c r="C241" t="s">
        <v>92</v>
      </c>
      <c r="D241" s="40">
        <v>1614</v>
      </c>
      <c r="F241">
        <v>220</v>
      </c>
      <c r="G241" s="41">
        <v>43288</v>
      </c>
      <c r="H241" t="str">
        <v>NY</v>
      </c>
      <c r="I241">
        <v>1368</v>
      </c>
    </row>
    <row r="242" spans="1:9" x14ac:dyDescent="0.25">
      <c r="A242">
        <v>333</v>
      </c>
      <c r="B242" s="5">
        <v>43306</v>
      </c>
      <c r="C242" t="s">
        <v>94</v>
      </c>
      <c r="D242" s="40">
        <v>732</v>
      </c>
      <c r="F242">
        <v>429</v>
      </c>
      <c r="G242" s="41">
        <v>43325</v>
      </c>
      <c r="H242" t="str">
        <v>CA</v>
      </c>
      <c r="I242">
        <v>1843</v>
      </c>
    </row>
    <row r="243" spans="1:9" x14ac:dyDescent="0.25">
      <c r="A243">
        <v>586</v>
      </c>
      <c r="B243" s="5">
        <v>43355</v>
      </c>
      <c r="C243" t="s">
        <v>93</v>
      </c>
      <c r="D243" s="40">
        <v>1687</v>
      </c>
      <c r="F243">
        <v>507</v>
      </c>
      <c r="G243" s="41">
        <v>43339</v>
      </c>
      <c r="H243" t="str">
        <v>NY</v>
      </c>
      <c r="I243">
        <v>1031</v>
      </c>
    </row>
    <row r="244" spans="1:9" x14ac:dyDescent="0.25">
      <c r="A244">
        <v>421</v>
      </c>
      <c r="B244" s="5">
        <v>43324</v>
      </c>
      <c r="C244" t="s">
        <v>92</v>
      </c>
      <c r="D244" s="40">
        <v>761</v>
      </c>
      <c r="F244">
        <v>324</v>
      </c>
      <c r="G244" s="41">
        <v>43305</v>
      </c>
      <c r="H244" t="str">
        <v>TX</v>
      </c>
      <c r="I244">
        <v>667</v>
      </c>
    </row>
    <row r="245" spans="1:9" x14ac:dyDescent="0.25">
      <c r="A245">
        <v>47</v>
      </c>
      <c r="B245" s="5">
        <v>43258</v>
      </c>
      <c r="C245" t="s">
        <v>92</v>
      </c>
      <c r="D245" s="40">
        <v>1979</v>
      </c>
      <c r="F245">
        <v>509</v>
      </c>
      <c r="G245" s="41">
        <v>43339</v>
      </c>
      <c r="H245" t="str">
        <v>TX</v>
      </c>
      <c r="I245">
        <v>1219</v>
      </c>
    </row>
    <row r="246" spans="1:9" x14ac:dyDescent="0.25">
      <c r="A246">
        <v>262</v>
      </c>
      <c r="B246" s="5">
        <v>43295</v>
      </c>
      <c r="C246" t="s">
        <v>92</v>
      </c>
      <c r="D246" s="40">
        <v>1214</v>
      </c>
      <c r="F246">
        <v>263</v>
      </c>
      <c r="G246" s="41">
        <v>43295</v>
      </c>
      <c r="H246" t="str">
        <v>NY</v>
      </c>
      <c r="I246">
        <v>1157</v>
      </c>
    </row>
    <row r="247" spans="1:9" x14ac:dyDescent="0.25">
      <c r="A247">
        <v>85</v>
      </c>
      <c r="B247" s="5">
        <v>43266</v>
      </c>
      <c r="C247" t="s">
        <v>94</v>
      </c>
      <c r="D247" s="40">
        <v>671</v>
      </c>
      <c r="F247">
        <v>285</v>
      </c>
      <c r="G247" s="41">
        <v>43298</v>
      </c>
      <c r="H247" t="str">
        <v>CA</v>
      </c>
      <c r="I247">
        <v>1046</v>
      </c>
    </row>
    <row r="248" spans="1:9" x14ac:dyDescent="0.25">
      <c r="A248">
        <v>953</v>
      </c>
      <c r="B248" s="5">
        <v>43427</v>
      </c>
      <c r="C248" t="s">
        <v>92</v>
      </c>
      <c r="D248" s="40">
        <v>758</v>
      </c>
      <c r="F248">
        <v>467</v>
      </c>
      <c r="G248" s="41">
        <v>43332</v>
      </c>
      <c r="H248" t="str">
        <v>NY</v>
      </c>
      <c r="I248">
        <v>1656</v>
      </c>
    </row>
    <row r="249" spans="1:9" x14ac:dyDescent="0.25">
      <c r="A249">
        <v>687</v>
      </c>
      <c r="B249" s="5">
        <v>43377</v>
      </c>
      <c r="C249" t="s">
        <v>92</v>
      </c>
      <c r="D249" s="40">
        <v>642</v>
      </c>
      <c r="F249">
        <v>281</v>
      </c>
      <c r="G249" s="41">
        <v>43298</v>
      </c>
      <c r="H249" t="str">
        <v>NY</v>
      </c>
      <c r="I249">
        <v>820</v>
      </c>
    </row>
    <row r="250" spans="1:9" x14ac:dyDescent="0.25">
      <c r="A250">
        <v>124</v>
      </c>
      <c r="B250" s="5">
        <v>43271</v>
      </c>
      <c r="C250" t="s">
        <v>92</v>
      </c>
      <c r="D250" s="40">
        <v>1877</v>
      </c>
      <c r="F250">
        <v>292</v>
      </c>
      <c r="G250" s="41">
        <v>43299</v>
      </c>
      <c r="H250" t="str">
        <v>CA</v>
      </c>
      <c r="I250">
        <v>629</v>
      </c>
    </row>
    <row r="251" spans="1:9" x14ac:dyDescent="0.25">
      <c r="A251">
        <v>268</v>
      </c>
      <c r="B251" s="5">
        <v>43296</v>
      </c>
      <c r="C251" t="s">
        <v>93</v>
      </c>
      <c r="D251" s="40">
        <v>1493</v>
      </c>
      <c r="F251">
        <v>492</v>
      </c>
      <c r="G251" s="41">
        <v>43336</v>
      </c>
      <c r="H251" t="str">
        <v>CA</v>
      </c>
      <c r="I251">
        <v>1859</v>
      </c>
    </row>
    <row r="252" spans="1:9" x14ac:dyDescent="0.25">
      <c r="A252">
        <v>67</v>
      </c>
      <c r="B252" s="5">
        <v>43262</v>
      </c>
      <c r="C252" t="s">
        <v>93</v>
      </c>
      <c r="D252" s="40">
        <v>1702</v>
      </c>
      <c r="F252">
        <v>190</v>
      </c>
      <c r="G252" s="41">
        <v>43283</v>
      </c>
      <c r="H252" t="str">
        <v>NY</v>
      </c>
      <c r="I252">
        <v>1281</v>
      </c>
    </row>
    <row r="253" spans="1:9" x14ac:dyDescent="0.25">
      <c r="A253">
        <v>858</v>
      </c>
      <c r="B253" s="5">
        <v>43410</v>
      </c>
      <c r="C253" t="s">
        <v>92</v>
      </c>
      <c r="D253" s="40">
        <v>543</v>
      </c>
      <c r="F253">
        <v>317</v>
      </c>
      <c r="G253" s="41">
        <v>43304</v>
      </c>
      <c r="H253" t="str">
        <v>TX</v>
      </c>
      <c r="I253">
        <v>1920</v>
      </c>
    </row>
    <row r="254" spans="1:9" x14ac:dyDescent="0.25">
      <c r="A254">
        <v>624</v>
      </c>
      <c r="B254" s="5">
        <v>43364</v>
      </c>
      <c r="C254" t="s">
        <v>92</v>
      </c>
      <c r="D254" s="40">
        <v>667</v>
      </c>
      <c r="F254">
        <v>381</v>
      </c>
      <c r="G254" s="41">
        <v>43315</v>
      </c>
      <c r="H254" t="str">
        <v>CA</v>
      </c>
      <c r="I254">
        <v>1454</v>
      </c>
    </row>
    <row r="255" spans="1:9" x14ac:dyDescent="0.25">
      <c r="A255">
        <v>611</v>
      </c>
      <c r="B255" s="5">
        <v>43360</v>
      </c>
      <c r="C255" t="s">
        <v>93</v>
      </c>
      <c r="D255" s="40">
        <v>1548</v>
      </c>
      <c r="F255">
        <v>501</v>
      </c>
      <c r="G255" s="41">
        <v>43338</v>
      </c>
      <c r="H255" t="str">
        <v>TX</v>
      </c>
      <c r="I255">
        <v>1761</v>
      </c>
    </row>
    <row r="256" spans="1:9" x14ac:dyDescent="0.25">
      <c r="A256">
        <v>406</v>
      </c>
      <c r="B256" s="5">
        <v>43321</v>
      </c>
      <c r="C256" t="s">
        <v>94</v>
      </c>
      <c r="D256" s="40">
        <v>951</v>
      </c>
      <c r="F256">
        <v>304</v>
      </c>
      <c r="G256" s="41">
        <v>43301</v>
      </c>
      <c r="H256" t="str">
        <v>CA</v>
      </c>
      <c r="I256">
        <v>1200</v>
      </c>
    </row>
    <row r="257" spans="1:9" x14ac:dyDescent="0.25">
      <c r="A257">
        <v>458</v>
      </c>
      <c r="B257" s="5">
        <v>43331</v>
      </c>
      <c r="C257" t="s">
        <v>92</v>
      </c>
      <c r="D257" s="40">
        <v>1575</v>
      </c>
      <c r="F257">
        <v>423</v>
      </c>
      <c r="G257" s="41">
        <v>43324</v>
      </c>
      <c r="H257" t="str">
        <v>TX</v>
      </c>
      <c r="I257">
        <v>673</v>
      </c>
    </row>
    <row r="258" spans="1:9" x14ac:dyDescent="0.25">
      <c r="A258">
        <v>440</v>
      </c>
      <c r="B258" s="5">
        <v>43328</v>
      </c>
      <c r="C258" t="s">
        <v>93</v>
      </c>
      <c r="D258" s="40">
        <v>1057</v>
      </c>
      <c r="F258">
        <v>456</v>
      </c>
      <c r="G258" s="41">
        <v>43330</v>
      </c>
      <c r="H258" t="str">
        <v>TX</v>
      </c>
      <c r="I258">
        <v>537</v>
      </c>
    </row>
    <row r="259" spans="1:9" x14ac:dyDescent="0.25">
      <c r="A259">
        <v>772</v>
      </c>
      <c r="B259" s="5">
        <v>43392</v>
      </c>
      <c r="C259" t="s">
        <v>93</v>
      </c>
      <c r="D259" s="40">
        <v>1026</v>
      </c>
      <c r="F259">
        <v>332</v>
      </c>
      <c r="G259" s="41">
        <v>43306</v>
      </c>
      <c r="H259" t="str">
        <v>NY</v>
      </c>
      <c r="I259">
        <v>1881</v>
      </c>
    </row>
    <row r="260" spans="1:9" x14ac:dyDescent="0.25">
      <c r="A260">
        <v>446</v>
      </c>
      <c r="B260" s="5">
        <v>43328</v>
      </c>
      <c r="C260" t="s">
        <v>94</v>
      </c>
      <c r="D260" s="40">
        <v>1489</v>
      </c>
      <c r="F260">
        <v>230</v>
      </c>
      <c r="G260" s="41">
        <v>43289</v>
      </c>
      <c r="H260" t="str">
        <v>CA</v>
      </c>
      <c r="I260">
        <v>605</v>
      </c>
    </row>
    <row r="261" spans="1:9" x14ac:dyDescent="0.25">
      <c r="A261">
        <v>212</v>
      </c>
      <c r="B261" s="5">
        <v>43287</v>
      </c>
      <c r="C261" t="s">
        <v>94</v>
      </c>
      <c r="D261" s="40">
        <v>1687</v>
      </c>
      <c r="F261">
        <v>409</v>
      </c>
      <c r="G261" s="41">
        <v>43322</v>
      </c>
      <c r="H261" t="str">
        <v>CA</v>
      </c>
      <c r="I261">
        <v>988</v>
      </c>
    </row>
    <row r="262" spans="1:9" x14ac:dyDescent="0.25">
      <c r="A262">
        <v>847</v>
      </c>
      <c r="B262" s="5">
        <v>43409</v>
      </c>
      <c r="C262" t="s">
        <v>94</v>
      </c>
      <c r="D262" s="40">
        <v>1853</v>
      </c>
      <c r="F262">
        <v>225</v>
      </c>
      <c r="G262" s="41">
        <v>43288</v>
      </c>
      <c r="H262" t="str">
        <v>CA</v>
      </c>
      <c r="I262">
        <v>1759</v>
      </c>
    </row>
    <row r="263" spans="1:9" x14ac:dyDescent="0.25">
      <c r="A263">
        <v>360</v>
      </c>
      <c r="B263" s="5">
        <v>43311</v>
      </c>
      <c r="C263" t="s">
        <v>94</v>
      </c>
      <c r="D263" s="40">
        <v>808</v>
      </c>
      <c r="F263">
        <v>290</v>
      </c>
      <c r="G263" s="41">
        <v>43299</v>
      </c>
      <c r="H263" t="str">
        <v>TX</v>
      </c>
      <c r="I263">
        <v>1246</v>
      </c>
    </row>
    <row r="264" spans="1:9" x14ac:dyDescent="0.25">
      <c r="A264">
        <v>540</v>
      </c>
      <c r="B264" s="5">
        <v>43345</v>
      </c>
      <c r="C264" t="s">
        <v>93</v>
      </c>
      <c r="D264" s="40">
        <v>1125</v>
      </c>
      <c r="F264">
        <v>256</v>
      </c>
      <c r="G264" s="41">
        <v>43294</v>
      </c>
      <c r="H264" t="str">
        <v>TX</v>
      </c>
      <c r="I264">
        <v>599</v>
      </c>
    </row>
    <row r="265" spans="1:9" x14ac:dyDescent="0.25">
      <c r="A265">
        <v>537</v>
      </c>
      <c r="B265" s="5">
        <v>43345</v>
      </c>
      <c r="C265" t="s">
        <v>92</v>
      </c>
      <c r="D265" s="40">
        <v>1969</v>
      </c>
      <c r="F265">
        <v>430</v>
      </c>
      <c r="G265" s="41">
        <v>43326</v>
      </c>
      <c r="H265" t="str">
        <v>NY</v>
      </c>
      <c r="I265">
        <v>1415</v>
      </c>
    </row>
    <row r="266" spans="1:9" x14ac:dyDescent="0.25">
      <c r="A266">
        <v>830</v>
      </c>
      <c r="B266" s="5">
        <v>43405</v>
      </c>
      <c r="C266" t="s">
        <v>94</v>
      </c>
      <c r="D266" s="40">
        <v>1565</v>
      </c>
      <c r="F266">
        <v>420</v>
      </c>
      <c r="G266" s="41">
        <v>43323</v>
      </c>
      <c r="H266" t="str">
        <v>CA</v>
      </c>
      <c r="I266">
        <v>1862</v>
      </c>
    </row>
    <row r="267" spans="1:9" x14ac:dyDescent="0.25">
      <c r="A267">
        <v>471</v>
      </c>
      <c r="B267" s="5">
        <v>43333</v>
      </c>
      <c r="C267" t="s">
        <v>93</v>
      </c>
      <c r="D267" s="40">
        <v>1372</v>
      </c>
      <c r="F267">
        <v>318</v>
      </c>
      <c r="G267" s="41">
        <v>43304</v>
      </c>
      <c r="H267" t="str">
        <v>NY</v>
      </c>
      <c r="I267">
        <v>1795</v>
      </c>
    </row>
    <row r="268" spans="1:9" x14ac:dyDescent="0.25">
      <c r="A268">
        <v>401</v>
      </c>
      <c r="B268" s="5">
        <v>43320</v>
      </c>
      <c r="C268" t="s">
        <v>94</v>
      </c>
      <c r="D268" s="40">
        <v>897</v>
      </c>
      <c r="F268">
        <v>284</v>
      </c>
      <c r="G268" s="41">
        <v>43298</v>
      </c>
      <c r="H268" t="str">
        <v>NY</v>
      </c>
      <c r="I268">
        <v>577</v>
      </c>
    </row>
    <row r="269" spans="1:9" x14ac:dyDescent="0.25">
      <c r="A269">
        <v>715</v>
      </c>
      <c r="B269" s="5">
        <v>43383</v>
      </c>
      <c r="C269" t="s">
        <v>94</v>
      </c>
      <c r="D269" s="40">
        <v>1495</v>
      </c>
      <c r="F269">
        <v>403</v>
      </c>
      <c r="G269" s="41">
        <v>43321</v>
      </c>
      <c r="H269" t="str">
        <v>NY</v>
      </c>
      <c r="I269">
        <v>1477</v>
      </c>
    </row>
    <row r="270" spans="1:9" x14ac:dyDescent="0.25">
      <c r="A270">
        <v>224</v>
      </c>
      <c r="B270" s="5">
        <v>43288</v>
      </c>
      <c r="C270" t="s">
        <v>92</v>
      </c>
      <c r="D270" s="40">
        <v>1315</v>
      </c>
      <c r="F270">
        <v>293</v>
      </c>
      <c r="G270" s="41">
        <v>43300</v>
      </c>
      <c r="H270" t="str">
        <v>CA</v>
      </c>
      <c r="I270">
        <v>1091</v>
      </c>
    </row>
    <row r="271" spans="1:9" x14ac:dyDescent="0.25">
      <c r="A271">
        <v>12</v>
      </c>
      <c r="B271" s="5">
        <v>43254</v>
      </c>
      <c r="C271" t="s">
        <v>94</v>
      </c>
      <c r="D271" s="40">
        <v>797</v>
      </c>
      <c r="F271">
        <v>294</v>
      </c>
      <c r="G271" s="41">
        <v>43300</v>
      </c>
      <c r="H271" t="str">
        <v>CA</v>
      </c>
      <c r="I271">
        <v>982</v>
      </c>
    </row>
    <row r="272" spans="1:9" x14ac:dyDescent="0.25">
      <c r="A272">
        <v>270</v>
      </c>
      <c r="B272" s="5">
        <v>43296</v>
      </c>
      <c r="C272" t="s">
        <v>92</v>
      </c>
      <c r="D272" s="40">
        <v>868</v>
      </c>
      <c r="F272">
        <v>395</v>
      </c>
      <c r="G272" s="41">
        <v>43318</v>
      </c>
      <c r="H272" t="str">
        <v>TX</v>
      </c>
      <c r="I272">
        <v>1423</v>
      </c>
    </row>
    <row r="273" spans="1:9" x14ac:dyDescent="0.25">
      <c r="A273">
        <v>647</v>
      </c>
      <c r="B273" s="5">
        <v>43366</v>
      </c>
      <c r="C273" t="s">
        <v>92</v>
      </c>
      <c r="D273" s="40">
        <v>521</v>
      </c>
      <c r="F273">
        <v>465</v>
      </c>
      <c r="G273" s="41">
        <v>43332</v>
      </c>
      <c r="H273" t="str">
        <v>CA</v>
      </c>
      <c r="I273">
        <v>1529</v>
      </c>
    </row>
    <row r="274" spans="1:9" x14ac:dyDescent="0.25">
      <c r="A274">
        <v>894</v>
      </c>
      <c r="B274" s="5">
        <v>43416</v>
      </c>
      <c r="C274" t="s">
        <v>93</v>
      </c>
      <c r="D274" s="40">
        <v>1139</v>
      </c>
      <c r="F274">
        <v>472</v>
      </c>
      <c r="G274" s="41">
        <v>43333</v>
      </c>
      <c r="H274" t="str">
        <v>TX</v>
      </c>
      <c r="I274">
        <v>1924</v>
      </c>
    </row>
    <row r="275" spans="1:9" x14ac:dyDescent="0.25">
      <c r="A275">
        <v>787</v>
      </c>
      <c r="B275" s="5">
        <v>43395</v>
      </c>
      <c r="C275" t="s">
        <v>94</v>
      </c>
      <c r="D275" s="40">
        <v>949</v>
      </c>
      <c r="F275">
        <v>243</v>
      </c>
      <c r="G275" s="41">
        <v>43292</v>
      </c>
      <c r="H275" t="str">
        <v>NY</v>
      </c>
      <c r="I275">
        <v>1111</v>
      </c>
    </row>
    <row r="276" spans="1:9" x14ac:dyDescent="0.25">
      <c r="A276">
        <v>191</v>
      </c>
      <c r="B276" s="5">
        <v>43283</v>
      </c>
      <c r="C276" t="s">
        <v>92</v>
      </c>
      <c r="D276" s="40">
        <v>1998</v>
      </c>
      <c r="F276">
        <v>227</v>
      </c>
      <c r="G276" s="41">
        <v>43289</v>
      </c>
      <c r="H276" t="str">
        <v>CA</v>
      </c>
      <c r="I276">
        <v>1718</v>
      </c>
    </row>
    <row r="277" spans="1:9" x14ac:dyDescent="0.25">
      <c r="A277">
        <v>468</v>
      </c>
      <c r="B277" s="5">
        <v>43332</v>
      </c>
      <c r="C277" t="s">
        <v>94</v>
      </c>
      <c r="D277" s="40">
        <v>1664</v>
      </c>
      <c r="F277">
        <v>180</v>
      </c>
      <c r="G277" s="41">
        <v>43282</v>
      </c>
      <c r="H277" t="str">
        <v>NY</v>
      </c>
      <c r="I277">
        <v>1533</v>
      </c>
    </row>
    <row r="278" spans="1:9" x14ac:dyDescent="0.25">
      <c r="A278">
        <v>320</v>
      </c>
      <c r="B278" s="5">
        <v>43304</v>
      </c>
      <c r="C278" t="s">
        <v>92</v>
      </c>
      <c r="D278" s="40">
        <v>1697</v>
      </c>
      <c r="F278">
        <v>309</v>
      </c>
      <c r="G278" s="41">
        <v>43303</v>
      </c>
      <c r="H278" t="str">
        <v>CA</v>
      </c>
      <c r="I278">
        <v>1509</v>
      </c>
    </row>
    <row r="279" spans="1:9" x14ac:dyDescent="0.25">
      <c r="A279">
        <v>503</v>
      </c>
      <c r="B279" s="5">
        <v>43339</v>
      </c>
      <c r="C279" t="s">
        <v>92</v>
      </c>
      <c r="D279" s="40">
        <v>1216</v>
      </c>
      <c r="F279">
        <v>496</v>
      </c>
      <c r="G279" s="41">
        <v>43338</v>
      </c>
      <c r="H279" t="str">
        <v>CA</v>
      </c>
      <c r="I279">
        <v>615</v>
      </c>
    </row>
    <row r="280" spans="1:9" x14ac:dyDescent="0.25">
      <c r="A280">
        <v>562</v>
      </c>
      <c r="B280" s="5">
        <v>43348</v>
      </c>
      <c r="C280" t="s">
        <v>94</v>
      </c>
      <c r="D280" s="40">
        <v>1229</v>
      </c>
      <c r="F280">
        <v>264</v>
      </c>
      <c r="G280" s="41">
        <v>43295</v>
      </c>
      <c r="H280" t="str">
        <v>NY</v>
      </c>
      <c r="I280">
        <v>1893</v>
      </c>
    </row>
    <row r="281" spans="1:9" x14ac:dyDescent="0.25">
      <c r="A281">
        <v>277</v>
      </c>
      <c r="B281" s="5">
        <v>43297</v>
      </c>
      <c r="C281" t="s">
        <v>92</v>
      </c>
      <c r="D281" s="40">
        <v>593</v>
      </c>
      <c r="F281">
        <v>433</v>
      </c>
      <c r="G281" s="41">
        <v>43327</v>
      </c>
      <c r="H281" t="str">
        <v>TX</v>
      </c>
      <c r="I281">
        <v>1445</v>
      </c>
    </row>
    <row r="282" spans="1:9" x14ac:dyDescent="0.25">
      <c r="A282">
        <v>30</v>
      </c>
      <c r="B282" s="5">
        <v>43256</v>
      </c>
      <c r="C282" t="s">
        <v>92</v>
      </c>
      <c r="D282" s="40">
        <v>1637</v>
      </c>
      <c r="F282">
        <v>213</v>
      </c>
      <c r="G282" s="41">
        <v>43287</v>
      </c>
      <c r="H282" t="str">
        <v>TX</v>
      </c>
      <c r="I282">
        <v>1776</v>
      </c>
    </row>
    <row r="283" spans="1:9" x14ac:dyDescent="0.25">
      <c r="A283">
        <v>975</v>
      </c>
      <c r="B283" s="5">
        <v>43431</v>
      </c>
      <c r="C283" t="s">
        <v>93</v>
      </c>
      <c r="D283" s="40">
        <v>1465</v>
      </c>
      <c r="F283">
        <v>497</v>
      </c>
      <c r="G283" s="41">
        <v>43338</v>
      </c>
      <c r="H283" t="str">
        <v>NY</v>
      </c>
      <c r="I283">
        <v>1900</v>
      </c>
    </row>
    <row r="284" spans="1:9" x14ac:dyDescent="0.25">
      <c r="A284">
        <v>869</v>
      </c>
      <c r="B284" s="5">
        <v>43412</v>
      </c>
      <c r="C284" t="s">
        <v>92</v>
      </c>
      <c r="D284" s="40">
        <v>797</v>
      </c>
      <c r="F284">
        <v>475</v>
      </c>
      <c r="G284" s="41">
        <v>43333</v>
      </c>
      <c r="H284" t="str">
        <v>CA</v>
      </c>
      <c r="I284">
        <v>1409</v>
      </c>
    </row>
    <row r="285" spans="1:9" x14ac:dyDescent="0.25">
      <c r="A285">
        <v>940</v>
      </c>
      <c r="B285" s="5">
        <v>43424</v>
      </c>
      <c r="C285" t="s">
        <v>93</v>
      </c>
      <c r="D285" s="40">
        <v>1641</v>
      </c>
      <c r="F285">
        <v>218</v>
      </c>
      <c r="G285" s="41">
        <v>43287</v>
      </c>
      <c r="H285" t="str">
        <v>TX</v>
      </c>
      <c r="I285">
        <v>1461</v>
      </c>
    </row>
    <row r="286" spans="1:9" x14ac:dyDescent="0.25">
      <c r="A286">
        <v>280</v>
      </c>
      <c r="B286" s="5">
        <v>43297</v>
      </c>
      <c r="C286" t="s">
        <v>92</v>
      </c>
      <c r="D286" s="40">
        <v>1268</v>
      </c>
      <c r="F286">
        <v>254</v>
      </c>
      <c r="G286" s="41">
        <v>43294</v>
      </c>
      <c r="H286" t="str">
        <v>CA</v>
      </c>
      <c r="I286">
        <v>1207</v>
      </c>
    </row>
    <row r="287" spans="1:9" x14ac:dyDescent="0.25">
      <c r="A287">
        <v>635</v>
      </c>
      <c r="B287" s="5">
        <v>43365</v>
      </c>
      <c r="C287" t="s">
        <v>93</v>
      </c>
      <c r="D287" s="40">
        <v>1228</v>
      </c>
      <c r="F287">
        <v>520</v>
      </c>
      <c r="G287" s="41">
        <v>43342</v>
      </c>
      <c r="H287" t="str">
        <v>CA</v>
      </c>
      <c r="I287">
        <v>599</v>
      </c>
    </row>
    <row r="288" spans="1:9" x14ac:dyDescent="0.25">
      <c r="A288">
        <v>92</v>
      </c>
      <c r="B288" s="5">
        <v>43266</v>
      </c>
      <c r="C288" t="s">
        <v>93</v>
      </c>
      <c r="D288" s="40">
        <v>1490</v>
      </c>
      <c r="F288">
        <v>184</v>
      </c>
      <c r="G288" s="41">
        <v>43283</v>
      </c>
      <c r="H288" t="str">
        <v>CA</v>
      </c>
      <c r="I288">
        <v>1701</v>
      </c>
    </row>
    <row r="289" spans="1:9" x14ac:dyDescent="0.25">
      <c r="A289">
        <v>860</v>
      </c>
      <c r="B289" s="5">
        <v>43411</v>
      </c>
      <c r="C289" t="s">
        <v>92</v>
      </c>
      <c r="D289" s="40">
        <v>769</v>
      </c>
      <c r="F289">
        <v>197</v>
      </c>
      <c r="G289" s="41">
        <v>43284</v>
      </c>
      <c r="H289" t="str">
        <v>CA</v>
      </c>
      <c r="I289">
        <v>728</v>
      </c>
    </row>
    <row r="290" spans="1:9" x14ac:dyDescent="0.25">
      <c r="A290">
        <v>63</v>
      </c>
      <c r="B290" s="5">
        <v>43261</v>
      </c>
      <c r="C290" t="s">
        <v>93</v>
      </c>
      <c r="D290" s="40">
        <v>1494</v>
      </c>
      <c r="F290">
        <v>205</v>
      </c>
      <c r="G290" s="41">
        <v>43286</v>
      </c>
      <c r="H290" t="str">
        <v>TX</v>
      </c>
      <c r="I290">
        <v>530</v>
      </c>
    </row>
    <row r="291" spans="1:9" x14ac:dyDescent="0.25">
      <c r="A291">
        <v>211</v>
      </c>
      <c r="B291" s="5">
        <v>43287</v>
      </c>
      <c r="C291" t="s">
        <v>92</v>
      </c>
      <c r="D291" s="40">
        <v>1668</v>
      </c>
      <c r="F291">
        <v>364</v>
      </c>
      <c r="G291" s="41">
        <v>43313</v>
      </c>
      <c r="H291" t="str">
        <v>NY</v>
      </c>
      <c r="I291">
        <v>1624</v>
      </c>
    </row>
    <row r="292" spans="1:9" x14ac:dyDescent="0.25">
      <c r="A292">
        <v>713</v>
      </c>
      <c r="B292" s="5">
        <v>43383</v>
      </c>
      <c r="C292" t="s">
        <v>92</v>
      </c>
      <c r="D292" s="40">
        <v>1788</v>
      </c>
      <c r="F292">
        <v>411</v>
      </c>
      <c r="G292" s="41">
        <v>43322</v>
      </c>
      <c r="H292" t="str">
        <v>NY</v>
      </c>
      <c r="I292">
        <v>517</v>
      </c>
    </row>
    <row r="293" spans="1:9" x14ac:dyDescent="0.25">
      <c r="A293">
        <v>500</v>
      </c>
      <c r="B293" s="5">
        <v>43338</v>
      </c>
      <c r="C293" t="s">
        <v>92</v>
      </c>
      <c r="D293" s="40">
        <v>519</v>
      </c>
      <c r="F293">
        <v>444</v>
      </c>
      <c r="G293" s="41">
        <v>43328</v>
      </c>
      <c r="H293" t="str">
        <v>CA</v>
      </c>
      <c r="I293">
        <v>1131</v>
      </c>
    </row>
    <row r="294" spans="1:9" x14ac:dyDescent="0.25">
      <c r="A294">
        <v>766</v>
      </c>
      <c r="B294" s="5">
        <v>43392</v>
      </c>
      <c r="C294" t="s">
        <v>94</v>
      </c>
      <c r="D294" s="40">
        <v>874</v>
      </c>
      <c r="F294">
        <v>418</v>
      </c>
      <c r="G294" s="41">
        <v>43323</v>
      </c>
      <c r="H294" t="str">
        <v>TX</v>
      </c>
      <c r="I294">
        <v>775</v>
      </c>
    </row>
    <row r="295" spans="1:9" x14ac:dyDescent="0.25">
      <c r="A295">
        <v>482</v>
      </c>
      <c r="B295" s="5">
        <v>43334</v>
      </c>
      <c r="C295" t="s">
        <v>92</v>
      </c>
      <c r="D295" s="40">
        <v>1388</v>
      </c>
      <c r="F295">
        <v>376</v>
      </c>
      <c r="G295" s="41">
        <v>43314</v>
      </c>
      <c r="H295" t="str">
        <v>CA</v>
      </c>
      <c r="I295">
        <v>558</v>
      </c>
    </row>
    <row r="296" spans="1:9" x14ac:dyDescent="0.25">
      <c r="A296">
        <v>271</v>
      </c>
      <c r="B296" s="5">
        <v>43296</v>
      </c>
      <c r="C296" t="s">
        <v>92</v>
      </c>
      <c r="D296" s="40">
        <v>568</v>
      </c>
      <c r="F296">
        <v>322</v>
      </c>
      <c r="G296" s="41">
        <v>43304</v>
      </c>
      <c r="H296" t="str">
        <v>TX</v>
      </c>
      <c r="I296">
        <v>1397</v>
      </c>
    </row>
    <row r="297" spans="1:9" x14ac:dyDescent="0.25">
      <c r="A297">
        <v>623</v>
      </c>
      <c r="B297" s="5">
        <v>43364</v>
      </c>
      <c r="C297" t="s">
        <v>94</v>
      </c>
      <c r="D297" s="40">
        <v>1001</v>
      </c>
      <c r="F297">
        <v>306</v>
      </c>
      <c r="G297" s="41">
        <v>43302</v>
      </c>
      <c r="H297" t="str">
        <v>NY</v>
      </c>
      <c r="I297">
        <v>1804</v>
      </c>
    </row>
    <row r="298" spans="1:9" x14ac:dyDescent="0.25">
      <c r="A298">
        <v>29</v>
      </c>
      <c r="B298" s="5">
        <v>43256</v>
      </c>
      <c r="C298" t="s">
        <v>94</v>
      </c>
      <c r="D298" s="40">
        <v>1712</v>
      </c>
      <c r="F298">
        <v>189</v>
      </c>
      <c r="G298" s="41">
        <v>43283</v>
      </c>
      <c r="H298" t="str">
        <v>NY</v>
      </c>
      <c r="I298">
        <v>1158</v>
      </c>
    </row>
    <row r="299" spans="1:9" x14ac:dyDescent="0.25">
      <c r="A299">
        <v>305</v>
      </c>
      <c r="B299" s="5">
        <v>43301</v>
      </c>
      <c r="C299" t="s">
        <v>94</v>
      </c>
      <c r="D299" s="40">
        <v>957</v>
      </c>
      <c r="F299">
        <v>302</v>
      </c>
      <c r="G299" s="41">
        <v>43301</v>
      </c>
      <c r="H299" t="str">
        <v>CA</v>
      </c>
      <c r="I299">
        <v>1556</v>
      </c>
    </row>
    <row r="300" spans="1:9" x14ac:dyDescent="0.25">
      <c r="A300">
        <v>752</v>
      </c>
      <c r="B300" s="5">
        <v>43388</v>
      </c>
      <c r="C300" t="s">
        <v>93</v>
      </c>
      <c r="D300" s="40">
        <v>1637</v>
      </c>
      <c r="F300">
        <v>494</v>
      </c>
      <c r="G300" s="41">
        <v>43337</v>
      </c>
      <c r="H300" t="str">
        <v>TX</v>
      </c>
      <c r="I300">
        <v>1219</v>
      </c>
    </row>
    <row r="301" spans="1:9" x14ac:dyDescent="0.25">
      <c r="A301">
        <v>709</v>
      </c>
      <c r="B301" s="5">
        <v>43382</v>
      </c>
      <c r="C301" t="s">
        <v>94</v>
      </c>
      <c r="D301" s="40">
        <v>645</v>
      </c>
      <c r="F301">
        <v>207</v>
      </c>
      <c r="G301" s="41">
        <v>43286</v>
      </c>
      <c r="H301" t="str">
        <v>CA</v>
      </c>
      <c r="I301">
        <v>773</v>
      </c>
    </row>
    <row r="302" spans="1:9" x14ac:dyDescent="0.25">
      <c r="A302">
        <v>946</v>
      </c>
      <c r="B302" s="5">
        <v>43425</v>
      </c>
      <c r="C302" t="s">
        <v>93</v>
      </c>
      <c r="D302" s="40">
        <v>953</v>
      </c>
      <c r="F302">
        <v>252</v>
      </c>
      <c r="G302" s="41">
        <v>43293</v>
      </c>
      <c r="H302" t="str">
        <v>TX</v>
      </c>
      <c r="I302">
        <v>816</v>
      </c>
    </row>
    <row r="303" spans="1:9" x14ac:dyDescent="0.25">
      <c r="A303">
        <v>589</v>
      </c>
      <c r="B303" s="5">
        <v>43355</v>
      </c>
      <c r="C303" t="s">
        <v>93</v>
      </c>
      <c r="D303" s="40">
        <v>927</v>
      </c>
      <c r="F303">
        <v>238</v>
      </c>
      <c r="G303" s="41">
        <v>43291</v>
      </c>
      <c r="H303" t="str">
        <v>TX</v>
      </c>
      <c r="I303">
        <v>1969</v>
      </c>
    </row>
    <row r="304" spans="1:9" x14ac:dyDescent="0.25">
      <c r="A304">
        <v>684</v>
      </c>
      <c r="B304" s="5">
        <v>43375</v>
      </c>
      <c r="C304" t="s">
        <v>92</v>
      </c>
      <c r="D304" s="40">
        <v>553</v>
      </c>
      <c r="F304">
        <v>202</v>
      </c>
      <c r="G304" s="41">
        <v>43285</v>
      </c>
      <c r="H304" t="str">
        <v>TX</v>
      </c>
      <c r="I304">
        <v>1823</v>
      </c>
    </row>
    <row r="305" spans="1:9" x14ac:dyDescent="0.25">
      <c r="A305">
        <v>676</v>
      </c>
      <c r="B305" s="5">
        <v>43373</v>
      </c>
      <c r="C305" t="s">
        <v>94</v>
      </c>
      <c r="D305" s="40">
        <v>657</v>
      </c>
      <c r="F305">
        <v>345</v>
      </c>
      <c r="G305" s="41">
        <v>43310</v>
      </c>
      <c r="H305" t="str">
        <v>TX</v>
      </c>
      <c r="I305">
        <v>1857</v>
      </c>
    </row>
    <row r="306" spans="1:9" x14ac:dyDescent="0.25">
      <c r="A306">
        <v>741</v>
      </c>
      <c r="B306" s="5">
        <v>43386</v>
      </c>
      <c r="C306" t="s">
        <v>93</v>
      </c>
      <c r="D306" s="40">
        <v>1285</v>
      </c>
      <c r="F306">
        <v>393</v>
      </c>
      <c r="G306" s="41">
        <v>43318</v>
      </c>
      <c r="H306" t="str">
        <v>NY</v>
      </c>
      <c r="I306">
        <v>1238</v>
      </c>
    </row>
    <row r="307" spans="1:9" x14ac:dyDescent="0.25">
      <c r="A307">
        <v>902</v>
      </c>
      <c r="B307" s="5">
        <v>43418</v>
      </c>
      <c r="C307" t="s">
        <v>94</v>
      </c>
      <c r="D307" s="40">
        <v>1041</v>
      </c>
      <c r="F307">
        <v>361</v>
      </c>
      <c r="G307" s="41">
        <v>43312</v>
      </c>
      <c r="H307" t="str">
        <v>NY</v>
      </c>
      <c r="I307">
        <v>1116</v>
      </c>
    </row>
    <row r="308" spans="1:9" x14ac:dyDescent="0.25">
      <c r="A308">
        <v>903</v>
      </c>
      <c r="B308" s="5">
        <v>43418</v>
      </c>
      <c r="C308" t="s">
        <v>93</v>
      </c>
      <c r="D308" s="40">
        <v>840</v>
      </c>
      <c r="F308">
        <v>208</v>
      </c>
      <c r="G308" s="41">
        <v>43286</v>
      </c>
      <c r="H308" t="str">
        <v>TX</v>
      </c>
      <c r="I308">
        <v>1060</v>
      </c>
    </row>
    <row r="309" spans="1:9" x14ac:dyDescent="0.25">
      <c r="A309">
        <v>648</v>
      </c>
      <c r="B309" s="5">
        <v>43367</v>
      </c>
      <c r="C309" t="s">
        <v>93</v>
      </c>
      <c r="D309" s="40">
        <v>1053</v>
      </c>
      <c r="F309">
        <v>380</v>
      </c>
      <c r="G309" s="41">
        <v>43315</v>
      </c>
      <c r="H309" t="str">
        <v>TX</v>
      </c>
      <c r="I309">
        <v>1191</v>
      </c>
    </row>
    <row r="310" spans="1:9" x14ac:dyDescent="0.25">
      <c r="A310">
        <v>235</v>
      </c>
      <c r="B310" s="5">
        <v>43291</v>
      </c>
      <c r="C310" t="s">
        <v>92</v>
      </c>
      <c r="D310" s="40">
        <v>1569</v>
      </c>
      <c r="F310">
        <v>323</v>
      </c>
      <c r="G310" s="41">
        <v>43305</v>
      </c>
      <c r="H310" t="str">
        <v>TX</v>
      </c>
      <c r="I310">
        <v>535</v>
      </c>
    </row>
    <row r="311" spans="1:9" x14ac:dyDescent="0.25">
      <c r="A311">
        <v>349</v>
      </c>
      <c r="B311" s="5">
        <v>43310</v>
      </c>
      <c r="C311" t="s">
        <v>92</v>
      </c>
      <c r="D311" s="40">
        <v>1640</v>
      </c>
      <c r="F311">
        <v>236</v>
      </c>
      <c r="G311" s="41">
        <v>43291</v>
      </c>
      <c r="H311" t="str">
        <v>NY</v>
      </c>
      <c r="I311">
        <v>815</v>
      </c>
    </row>
    <row r="312" spans="1:9" x14ac:dyDescent="0.25">
      <c r="A312">
        <v>499</v>
      </c>
      <c r="B312" s="5">
        <v>43338</v>
      </c>
      <c r="C312" t="s">
        <v>93</v>
      </c>
      <c r="D312" s="40">
        <v>1785</v>
      </c>
      <c r="F312">
        <v>219</v>
      </c>
      <c r="G312" s="41">
        <v>43288</v>
      </c>
      <c r="H312" t="str">
        <v>NY</v>
      </c>
      <c r="I312">
        <v>1271</v>
      </c>
    </row>
    <row r="313" spans="1:9" x14ac:dyDescent="0.25">
      <c r="A313">
        <v>369</v>
      </c>
      <c r="B313" s="5">
        <v>43313</v>
      </c>
      <c r="C313" t="s">
        <v>94</v>
      </c>
      <c r="D313" s="40">
        <v>1758</v>
      </c>
      <c r="F313">
        <v>442</v>
      </c>
      <c r="G313" s="41">
        <v>43328</v>
      </c>
      <c r="H313" t="str">
        <v>NY</v>
      </c>
      <c r="I313">
        <v>1345</v>
      </c>
    </row>
    <row r="314" spans="1:9" x14ac:dyDescent="0.25">
      <c r="A314">
        <v>342</v>
      </c>
      <c r="B314" s="5">
        <v>43308</v>
      </c>
      <c r="C314" t="s">
        <v>92</v>
      </c>
      <c r="D314" s="40">
        <v>1159</v>
      </c>
      <c r="F314">
        <v>394</v>
      </c>
      <c r="G314" s="41">
        <v>43318</v>
      </c>
      <c r="H314" t="str">
        <v>NY</v>
      </c>
      <c r="I314">
        <v>1547</v>
      </c>
    </row>
    <row r="315" spans="1:9" x14ac:dyDescent="0.25">
      <c r="A315">
        <v>44</v>
      </c>
      <c r="B315" s="5">
        <v>43258</v>
      </c>
      <c r="C315" t="s">
        <v>92</v>
      </c>
      <c r="D315" s="40">
        <v>1354</v>
      </c>
      <c r="F315">
        <v>413</v>
      </c>
      <c r="G315" s="41">
        <v>43323</v>
      </c>
      <c r="H315" t="str">
        <v>CA</v>
      </c>
      <c r="I315">
        <v>1130</v>
      </c>
    </row>
    <row r="316" spans="1:9" x14ac:dyDescent="0.25">
      <c r="A316">
        <v>422</v>
      </c>
      <c r="B316" s="5">
        <v>43324</v>
      </c>
      <c r="C316" t="s">
        <v>92</v>
      </c>
      <c r="D316" s="40">
        <v>760</v>
      </c>
      <c r="F316">
        <v>183</v>
      </c>
      <c r="G316" s="41">
        <v>43283</v>
      </c>
      <c r="H316" t="str">
        <v>CA</v>
      </c>
      <c r="I316">
        <v>1134</v>
      </c>
    </row>
    <row r="317" spans="1:9" x14ac:dyDescent="0.25">
      <c r="A317">
        <v>696</v>
      </c>
      <c r="B317" s="5">
        <v>43378</v>
      </c>
      <c r="C317" t="s">
        <v>94</v>
      </c>
      <c r="D317" s="40">
        <v>669</v>
      </c>
      <c r="F317">
        <v>222</v>
      </c>
      <c r="G317" s="41">
        <v>43288</v>
      </c>
      <c r="H317" t="str">
        <v>CA</v>
      </c>
      <c r="I317">
        <v>1167</v>
      </c>
    </row>
    <row r="318" spans="1:9" x14ac:dyDescent="0.25">
      <c r="A318">
        <v>706</v>
      </c>
      <c r="B318" s="5">
        <v>43381</v>
      </c>
      <c r="C318" t="s">
        <v>94</v>
      </c>
      <c r="D318" s="40">
        <v>687</v>
      </c>
      <c r="F318">
        <v>298</v>
      </c>
      <c r="G318" s="41">
        <v>43300</v>
      </c>
      <c r="H318" t="str">
        <v>CA</v>
      </c>
      <c r="I318">
        <v>1188</v>
      </c>
    </row>
    <row r="319" spans="1:9" x14ac:dyDescent="0.25">
      <c r="A319">
        <v>827</v>
      </c>
      <c r="B319" s="5">
        <v>43404</v>
      </c>
      <c r="C319" t="s">
        <v>94</v>
      </c>
      <c r="D319" s="40">
        <v>515</v>
      </c>
      <c r="F319">
        <v>237</v>
      </c>
      <c r="G319" s="41">
        <v>43291</v>
      </c>
      <c r="H319" t="str">
        <v>TX</v>
      </c>
      <c r="I319">
        <v>1919</v>
      </c>
    </row>
    <row r="320" spans="1:9" x14ac:dyDescent="0.25">
      <c r="A320">
        <v>913</v>
      </c>
      <c r="B320" s="5">
        <v>43420</v>
      </c>
      <c r="C320" t="s">
        <v>94</v>
      </c>
      <c r="D320" s="40">
        <v>1541</v>
      </c>
      <c r="F320">
        <v>431</v>
      </c>
      <c r="G320" s="41">
        <v>43326</v>
      </c>
      <c r="H320" t="str">
        <v>NY</v>
      </c>
      <c r="I320">
        <v>1021</v>
      </c>
    </row>
    <row r="321" spans="1:9" x14ac:dyDescent="0.25">
      <c r="A321">
        <v>967</v>
      </c>
      <c r="B321" s="5">
        <v>43429</v>
      </c>
      <c r="C321" t="s">
        <v>92</v>
      </c>
      <c r="D321" s="40">
        <v>1379</v>
      </c>
      <c r="F321">
        <v>416</v>
      </c>
      <c r="G321" s="41">
        <v>43323</v>
      </c>
      <c r="H321" t="str">
        <v>NY</v>
      </c>
      <c r="I321">
        <v>863</v>
      </c>
    </row>
    <row r="322" spans="1:9" x14ac:dyDescent="0.25">
      <c r="A322">
        <v>535</v>
      </c>
      <c r="B322" s="5">
        <v>43345</v>
      </c>
      <c r="C322" t="s">
        <v>94</v>
      </c>
      <c r="D322" s="40">
        <v>555</v>
      </c>
      <c r="F322">
        <v>226</v>
      </c>
      <c r="G322" s="41">
        <v>43289</v>
      </c>
      <c r="H322" t="str">
        <v>TX</v>
      </c>
      <c r="I322">
        <v>639</v>
      </c>
    </row>
    <row r="323" spans="1:9" x14ac:dyDescent="0.25">
      <c r="A323">
        <v>663</v>
      </c>
      <c r="B323" s="5">
        <v>43369</v>
      </c>
      <c r="C323" t="s">
        <v>93</v>
      </c>
      <c r="D323" s="40">
        <v>1666</v>
      </c>
      <c r="F323">
        <v>514</v>
      </c>
      <c r="G323" s="41">
        <v>43340</v>
      </c>
      <c r="H323" t="str">
        <v>CA</v>
      </c>
      <c r="I323">
        <v>809</v>
      </c>
    </row>
    <row r="324" spans="1:9" x14ac:dyDescent="0.25">
      <c r="A324">
        <v>695</v>
      </c>
      <c r="B324" s="5">
        <v>43378</v>
      </c>
      <c r="C324" t="s">
        <v>94</v>
      </c>
      <c r="D324" s="40">
        <v>1888</v>
      </c>
      <c r="F324">
        <v>473</v>
      </c>
      <c r="G324" s="41">
        <v>43333</v>
      </c>
      <c r="H324" t="str">
        <v>TX</v>
      </c>
      <c r="I324">
        <v>1374</v>
      </c>
    </row>
    <row r="325" spans="1:9" x14ac:dyDescent="0.25">
      <c r="A325">
        <v>644</v>
      </c>
      <c r="B325" s="5">
        <v>43366</v>
      </c>
      <c r="C325" t="s">
        <v>94</v>
      </c>
      <c r="D325" s="40">
        <v>565</v>
      </c>
      <c r="F325">
        <v>436</v>
      </c>
      <c r="G325" s="41">
        <v>43327</v>
      </c>
      <c r="H325" t="str">
        <v>CA</v>
      </c>
      <c r="I325">
        <v>1705</v>
      </c>
    </row>
    <row r="326" spans="1:9" x14ac:dyDescent="0.25">
      <c r="A326">
        <v>867</v>
      </c>
      <c r="B326" s="5">
        <v>43412</v>
      </c>
      <c r="C326" t="s">
        <v>94</v>
      </c>
      <c r="D326" s="40">
        <v>1076</v>
      </c>
      <c r="F326">
        <v>454</v>
      </c>
      <c r="G326" s="41">
        <v>43330</v>
      </c>
      <c r="H326" t="str">
        <v>NY</v>
      </c>
      <c r="I326">
        <v>1822</v>
      </c>
    </row>
    <row r="327" spans="1:9" x14ac:dyDescent="0.25">
      <c r="A327">
        <v>887</v>
      </c>
      <c r="B327" s="5">
        <v>43415</v>
      </c>
      <c r="C327" t="s">
        <v>94</v>
      </c>
      <c r="D327" s="40">
        <v>1213</v>
      </c>
      <c r="F327">
        <v>414</v>
      </c>
      <c r="G327" s="41">
        <v>43323</v>
      </c>
      <c r="H327" t="str">
        <v>TX</v>
      </c>
      <c r="I327">
        <v>1002</v>
      </c>
    </row>
    <row r="328" spans="1:9" x14ac:dyDescent="0.25">
      <c r="A328">
        <v>310</v>
      </c>
      <c r="B328" s="5">
        <v>43303</v>
      </c>
      <c r="C328" t="s">
        <v>92</v>
      </c>
      <c r="D328" s="40">
        <v>814</v>
      </c>
      <c r="F328">
        <v>337</v>
      </c>
      <c r="G328" s="41">
        <v>43307</v>
      </c>
      <c r="H328" t="str">
        <v>CA</v>
      </c>
      <c r="I328">
        <v>1658</v>
      </c>
    </row>
    <row r="329" spans="1:9" x14ac:dyDescent="0.25">
      <c r="A329">
        <v>626</v>
      </c>
      <c r="B329" s="5">
        <v>43364</v>
      </c>
      <c r="C329" t="s">
        <v>92</v>
      </c>
      <c r="D329" s="40">
        <v>1669</v>
      </c>
      <c r="F329">
        <v>194</v>
      </c>
      <c r="G329" s="41">
        <v>43283</v>
      </c>
      <c r="H329" t="str">
        <v>CA</v>
      </c>
      <c r="I329">
        <v>1353</v>
      </c>
    </row>
    <row r="330" spans="1:9" x14ac:dyDescent="0.25">
      <c r="A330">
        <v>669</v>
      </c>
      <c r="B330" s="5">
        <v>43370</v>
      </c>
      <c r="C330" t="s">
        <v>94</v>
      </c>
      <c r="D330" s="40">
        <v>555</v>
      </c>
      <c r="F330">
        <v>483</v>
      </c>
      <c r="G330" s="41">
        <v>43334</v>
      </c>
      <c r="H330" t="str">
        <v>NY</v>
      </c>
      <c r="I330">
        <v>1026</v>
      </c>
    </row>
    <row r="331" spans="1:9" x14ac:dyDescent="0.25">
      <c r="A331">
        <v>344</v>
      </c>
      <c r="B331" s="5">
        <v>43309</v>
      </c>
      <c r="C331" t="s">
        <v>92</v>
      </c>
      <c r="D331" s="40">
        <v>1553</v>
      </c>
      <c r="F331">
        <v>513</v>
      </c>
      <c r="G331" s="41">
        <v>43340</v>
      </c>
      <c r="H331" t="str">
        <v>CA</v>
      </c>
      <c r="I331">
        <v>1662</v>
      </c>
    </row>
    <row r="332" spans="1:9" x14ac:dyDescent="0.25">
      <c r="A332">
        <v>603</v>
      </c>
      <c r="B332" s="5">
        <v>43356</v>
      </c>
      <c r="C332" t="s">
        <v>94</v>
      </c>
      <c r="D332" s="40">
        <v>1625</v>
      </c>
      <c r="F332">
        <v>383</v>
      </c>
      <c r="G332" s="41">
        <v>43316</v>
      </c>
      <c r="H332" t="str">
        <v>TX</v>
      </c>
      <c r="I332">
        <v>654</v>
      </c>
    </row>
    <row r="333" spans="1:9" x14ac:dyDescent="0.25">
      <c r="A333">
        <v>649</v>
      </c>
      <c r="B333" s="5">
        <v>43367</v>
      </c>
      <c r="C333" t="s">
        <v>94</v>
      </c>
      <c r="D333" s="40">
        <v>824</v>
      </c>
      <c r="F333">
        <v>476</v>
      </c>
      <c r="G333" s="41">
        <v>43333</v>
      </c>
      <c r="H333" t="str">
        <v>TX</v>
      </c>
      <c r="I333">
        <v>1846</v>
      </c>
    </row>
    <row r="334" spans="1:9" x14ac:dyDescent="0.25">
      <c r="A334">
        <v>891</v>
      </c>
      <c r="B334" s="5">
        <v>43416</v>
      </c>
      <c r="C334" t="s">
        <v>92</v>
      </c>
      <c r="D334" s="40">
        <v>1884</v>
      </c>
      <c r="F334">
        <v>267</v>
      </c>
      <c r="G334" s="41">
        <v>43296</v>
      </c>
      <c r="H334" t="str">
        <v>NY</v>
      </c>
      <c r="I334">
        <v>1048</v>
      </c>
    </row>
    <row r="335" spans="1:9" x14ac:dyDescent="0.25">
      <c r="A335">
        <v>82</v>
      </c>
      <c r="B335" s="5">
        <v>43265</v>
      </c>
      <c r="C335" t="s">
        <v>93</v>
      </c>
      <c r="D335" s="40">
        <v>1851</v>
      </c>
      <c r="F335">
        <v>261</v>
      </c>
      <c r="G335" s="41">
        <v>43295</v>
      </c>
      <c r="H335" t="str">
        <v>TX</v>
      </c>
      <c r="I335">
        <v>565</v>
      </c>
    </row>
    <row r="336" spans="1:9" x14ac:dyDescent="0.25">
      <c r="A336">
        <v>215</v>
      </c>
      <c r="B336" s="5">
        <v>43287</v>
      </c>
      <c r="C336" t="s">
        <v>92</v>
      </c>
      <c r="D336" s="40">
        <v>1730</v>
      </c>
      <c r="F336">
        <v>347</v>
      </c>
      <c r="G336" s="41">
        <v>43310</v>
      </c>
      <c r="H336" t="str">
        <v>CA</v>
      </c>
      <c r="I336">
        <v>1852</v>
      </c>
    </row>
    <row r="337" spans="1:9" x14ac:dyDescent="0.25">
      <c r="A337">
        <v>621</v>
      </c>
      <c r="B337" s="5">
        <v>43364</v>
      </c>
      <c r="C337" t="s">
        <v>92</v>
      </c>
      <c r="D337" s="40">
        <v>776</v>
      </c>
      <c r="F337">
        <v>353</v>
      </c>
      <c r="G337" s="41">
        <v>43311</v>
      </c>
      <c r="H337" t="str">
        <v>CA</v>
      </c>
      <c r="I337">
        <v>809</v>
      </c>
    </row>
    <row r="338" spans="1:9" x14ac:dyDescent="0.25">
      <c r="A338">
        <v>545</v>
      </c>
      <c r="B338" s="5">
        <v>43346</v>
      </c>
      <c r="C338" t="s">
        <v>92</v>
      </c>
      <c r="D338" s="40">
        <v>1729</v>
      </c>
      <c r="F338">
        <v>363</v>
      </c>
      <c r="G338" s="41">
        <v>43312</v>
      </c>
      <c r="H338" t="str">
        <v>NY</v>
      </c>
      <c r="I338">
        <v>1577</v>
      </c>
    </row>
    <row r="339" spans="1:9" x14ac:dyDescent="0.25">
      <c r="A339">
        <v>947</v>
      </c>
      <c r="B339" s="5">
        <v>43425</v>
      </c>
      <c r="C339" t="s">
        <v>94</v>
      </c>
      <c r="D339" s="40">
        <v>1602</v>
      </c>
      <c r="F339">
        <v>479</v>
      </c>
      <c r="G339" s="41">
        <v>43334</v>
      </c>
      <c r="H339" t="str">
        <v>CA</v>
      </c>
      <c r="I339">
        <v>1008</v>
      </c>
    </row>
    <row r="340" spans="1:9" x14ac:dyDescent="0.25">
      <c r="A340">
        <v>367</v>
      </c>
      <c r="B340" s="5">
        <v>43313</v>
      </c>
      <c r="C340" t="s">
        <v>94</v>
      </c>
      <c r="D340" s="40">
        <v>727</v>
      </c>
      <c r="F340">
        <v>370</v>
      </c>
      <c r="G340" s="41">
        <v>43313</v>
      </c>
      <c r="H340" t="str">
        <v>NY</v>
      </c>
      <c r="I340">
        <v>753</v>
      </c>
    </row>
    <row r="341" spans="1:9" x14ac:dyDescent="0.25">
      <c r="A341">
        <v>348</v>
      </c>
      <c r="B341" s="5">
        <v>43310</v>
      </c>
      <c r="C341" t="s">
        <v>92</v>
      </c>
      <c r="D341" s="40">
        <v>1414</v>
      </c>
      <c r="F341">
        <v>188</v>
      </c>
      <c r="G341" s="41">
        <v>43283</v>
      </c>
      <c r="H341" t="str">
        <v>CA</v>
      </c>
      <c r="I341">
        <v>1279</v>
      </c>
    </row>
    <row r="342" spans="1:9" x14ac:dyDescent="0.25">
      <c r="A342">
        <v>574</v>
      </c>
      <c r="B342" s="5">
        <v>43351</v>
      </c>
      <c r="C342" t="s">
        <v>92</v>
      </c>
      <c r="D342" s="40">
        <v>980</v>
      </c>
      <c r="F342">
        <v>351</v>
      </c>
      <c r="G342" s="41">
        <v>43311</v>
      </c>
      <c r="H342" t="str">
        <v>TX</v>
      </c>
      <c r="I342">
        <v>1041</v>
      </c>
    </row>
    <row r="343" spans="1:9" x14ac:dyDescent="0.25">
      <c r="A343">
        <v>905</v>
      </c>
      <c r="B343" s="5">
        <v>43419</v>
      </c>
      <c r="C343" t="s">
        <v>92</v>
      </c>
      <c r="D343" s="40">
        <v>1358</v>
      </c>
      <c r="F343">
        <v>186</v>
      </c>
      <c r="G343" s="41">
        <v>43283</v>
      </c>
      <c r="H343" t="str">
        <v>TX</v>
      </c>
      <c r="I343">
        <v>1144</v>
      </c>
    </row>
    <row r="344" spans="1:9" x14ac:dyDescent="0.25">
      <c r="A344">
        <v>583</v>
      </c>
      <c r="B344" s="5">
        <v>43354</v>
      </c>
      <c r="C344" t="s">
        <v>94</v>
      </c>
      <c r="D344" s="40">
        <v>1211</v>
      </c>
      <c r="F344">
        <v>382</v>
      </c>
      <c r="G344" s="41">
        <v>43315</v>
      </c>
      <c r="H344" t="str">
        <v>CA</v>
      </c>
      <c r="I344">
        <v>1412</v>
      </c>
    </row>
    <row r="345" spans="1:9" x14ac:dyDescent="0.25">
      <c r="A345">
        <v>775</v>
      </c>
      <c r="B345" s="5">
        <v>43393</v>
      </c>
      <c r="C345" t="s">
        <v>94</v>
      </c>
      <c r="D345" s="40">
        <v>1895</v>
      </c>
      <c r="F345">
        <v>432</v>
      </c>
      <c r="G345" s="41">
        <v>43326</v>
      </c>
      <c r="H345" t="str">
        <v>NY</v>
      </c>
      <c r="I345">
        <v>678</v>
      </c>
    </row>
    <row r="346" spans="1:9" x14ac:dyDescent="0.25">
      <c r="A346">
        <v>397</v>
      </c>
      <c r="B346" s="5">
        <v>43319</v>
      </c>
      <c r="C346" t="s">
        <v>94</v>
      </c>
      <c r="D346" s="40">
        <v>1824</v>
      </c>
      <c r="F346">
        <v>336</v>
      </c>
      <c r="G346" s="41">
        <v>43307</v>
      </c>
      <c r="H346" t="str">
        <v>NY</v>
      </c>
      <c r="I346">
        <v>1327</v>
      </c>
    </row>
    <row r="347" spans="1:9" x14ac:dyDescent="0.25">
      <c r="A347">
        <v>193</v>
      </c>
      <c r="B347" s="5">
        <v>43283</v>
      </c>
      <c r="C347" t="s">
        <v>93</v>
      </c>
      <c r="D347" s="40">
        <v>1012</v>
      </c>
      <c r="F347">
        <v>275</v>
      </c>
      <c r="G347" s="41">
        <v>43296</v>
      </c>
      <c r="H347" t="str">
        <v>CA</v>
      </c>
      <c r="I347">
        <v>954</v>
      </c>
    </row>
    <row r="348" spans="1:9" x14ac:dyDescent="0.25">
      <c r="A348">
        <v>504</v>
      </c>
      <c r="B348" s="5">
        <v>43339</v>
      </c>
      <c r="C348" t="s">
        <v>93</v>
      </c>
      <c r="D348" s="40">
        <v>554</v>
      </c>
      <c r="F348">
        <v>390</v>
      </c>
      <c r="G348" s="41">
        <v>43317</v>
      </c>
      <c r="H348" t="str">
        <v>NY</v>
      </c>
      <c r="I348">
        <v>1762</v>
      </c>
    </row>
    <row r="349" spans="1:9" x14ac:dyDescent="0.25">
      <c r="A349">
        <v>428</v>
      </c>
      <c r="B349" s="5">
        <v>43325</v>
      </c>
      <c r="C349" t="s">
        <v>92</v>
      </c>
      <c r="D349" s="40">
        <v>1257</v>
      </c>
      <c r="F349">
        <v>196</v>
      </c>
      <c r="G349" s="41">
        <v>43284</v>
      </c>
      <c r="H349" t="str">
        <v>CA</v>
      </c>
      <c r="I349">
        <v>1219</v>
      </c>
    </row>
    <row r="350" spans="1:9" x14ac:dyDescent="0.25">
      <c r="A350">
        <v>742</v>
      </c>
      <c r="B350" s="5">
        <v>43387</v>
      </c>
      <c r="C350" t="s">
        <v>93</v>
      </c>
      <c r="D350" s="40">
        <v>588</v>
      </c>
      <c r="F350">
        <v>308</v>
      </c>
      <c r="G350" s="41">
        <v>43302</v>
      </c>
      <c r="H350" t="str">
        <v>NY</v>
      </c>
      <c r="I350">
        <v>1701</v>
      </c>
    </row>
    <row r="351" spans="1:9" x14ac:dyDescent="0.25">
      <c r="A351">
        <v>591</v>
      </c>
      <c r="B351" s="5">
        <v>43355</v>
      </c>
      <c r="C351" t="s">
        <v>93</v>
      </c>
      <c r="D351" s="40">
        <v>797</v>
      </c>
      <c r="F351">
        <v>192</v>
      </c>
      <c r="G351" s="41">
        <v>43283</v>
      </c>
      <c r="H351" t="str">
        <v>NY</v>
      </c>
      <c r="I351">
        <v>1312</v>
      </c>
    </row>
    <row r="352" spans="1:9" x14ac:dyDescent="0.25">
      <c r="A352">
        <v>357</v>
      </c>
      <c r="B352" s="5">
        <v>43311</v>
      </c>
      <c r="C352" t="s">
        <v>94</v>
      </c>
      <c r="D352" s="40">
        <v>903</v>
      </c>
      <c r="F352">
        <v>402</v>
      </c>
      <c r="G352" s="41">
        <v>43320</v>
      </c>
      <c r="H352" t="str">
        <v>TX</v>
      </c>
      <c r="I352">
        <v>738</v>
      </c>
    </row>
    <row r="353" spans="1:4" x14ac:dyDescent="0.25">
      <c r="A353">
        <v>9</v>
      </c>
      <c r="B353" s="5">
        <v>43253</v>
      </c>
      <c r="C353" t="s">
        <v>94</v>
      </c>
      <c r="D353" s="40">
        <v>1654</v>
      </c>
    </row>
    <row r="354" spans="1:4" x14ac:dyDescent="0.25">
      <c r="A354">
        <v>792</v>
      </c>
      <c r="B354" s="5">
        <v>43396</v>
      </c>
      <c r="C354" t="s">
        <v>92</v>
      </c>
      <c r="D354" s="40">
        <v>963</v>
      </c>
    </row>
    <row r="355" spans="1:4" x14ac:dyDescent="0.25">
      <c r="A355">
        <v>340</v>
      </c>
      <c r="B355" s="5">
        <v>43308</v>
      </c>
      <c r="C355" t="s">
        <v>94</v>
      </c>
      <c r="D355" s="40">
        <v>1014</v>
      </c>
    </row>
    <row r="356" spans="1:4" x14ac:dyDescent="0.25">
      <c r="A356">
        <v>42</v>
      </c>
      <c r="B356" s="5">
        <v>43258</v>
      </c>
      <c r="C356" t="s">
        <v>92</v>
      </c>
      <c r="D356" s="40">
        <v>1869</v>
      </c>
    </row>
    <row r="357" spans="1:4" x14ac:dyDescent="0.25">
      <c r="A357">
        <v>720</v>
      </c>
      <c r="B357" s="5">
        <v>43384</v>
      </c>
      <c r="C357" t="s">
        <v>92</v>
      </c>
      <c r="D357" s="40">
        <v>1717</v>
      </c>
    </row>
    <row r="358" spans="1:4" x14ac:dyDescent="0.25">
      <c r="A358">
        <v>628</v>
      </c>
      <c r="B358" s="5">
        <v>43364</v>
      </c>
      <c r="C358" t="s">
        <v>92</v>
      </c>
      <c r="D358" s="40">
        <v>1857</v>
      </c>
    </row>
    <row r="359" spans="1:4" x14ac:dyDescent="0.25">
      <c r="A359">
        <v>201</v>
      </c>
      <c r="B359" s="5">
        <v>43285</v>
      </c>
      <c r="C359" t="s">
        <v>94</v>
      </c>
      <c r="D359" s="40">
        <v>1840</v>
      </c>
    </row>
    <row r="360" spans="1:4" x14ac:dyDescent="0.25">
      <c r="A360">
        <v>692</v>
      </c>
      <c r="B360" s="5">
        <v>43378</v>
      </c>
      <c r="C360" t="s">
        <v>93</v>
      </c>
      <c r="D360" s="40">
        <v>722</v>
      </c>
    </row>
    <row r="361" spans="1:4" x14ac:dyDescent="0.25">
      <c r="A361">
        <v>966</v>
      </c>
      <c r="B361" s="5">
        <v>43429</v>
      </c>
      <c r="C361" t="s">
        <v>93</v>
      </c>
      <c r="D361" s="40">
        <v>977</v>
      </c>
    </row>
    <row r="362" spans="1:4" x14ac:dyDescent="0.25">
      <c r="A362">
        <v>2</v>
      </c>
      <c r="B362" s="5">
        <v>43252</v>
      </c>
      <c r="C362" t="s">
        <v>92</v>
      </c>
      <c r="D362" s="40">
        <v>1828</v>
      </c>
    </row>
    <row r="363" spans="1:4" x14ac:dyDescent="0.25">
      <c r="A363">
        <v>909</v>
      </c>
      <c r="B363" s="5">
        <v>43419</v>
      </c>
      <c r="C363" t="s">
        <v>94</v>
      </c>
      <c r="D363" s="40">
        <v>1841</v>
      </c>
    </row>
    <row r="364" spans="1:4" x14ac:dyDescent="0.25">
      <c r="A364">
        <v>850</v>
      </c>
      <c r="B364" s="5">
        <v>43409</v>
      </c>
      <c r="C364" t="s">
        <v>92</v>
      </c>
      <c r="D364" s="40">
        <v>1756</v>
      </c>
    </row>
    <row r="365" spans="1:4" x14ac:dyDescent="0.25">
      <c r="A365">
        <v>152</v>
      </c>
      <c r="B365" s="5">
        <v>43276</v>
      </c>
      <c r="C365" t="s">
        <v>93</v>
      </c>
      <c r="D365" s="40">
        <v>1169</v>
      </c>
    </row>
    <row r="366" spans="1:4" x14ac:dyDescent="0.25">
      <c r="A366">
        <v>100</v>
      </c>
      <c r="B366" s="5">
        <v>43268</v>
      </c>
      <c r="C366" t="s">
        <v>93</v>
      </c>
      <c r="D366" s="40">
        <v>1306</v>
      </c>
    </row>
    <row r="367" spans="1:4" x14ac:dyDescent="0.25">
      <c r="A367">
        <v>631</v>
      </c>
      <c r="B367" s="5">
        <v>43365</v>
      </c>
      <c r="C367" t="s">
        <v>94</v>
      </c>
      <c r="D367" s="40">
        <v>883</v>
      </c>
    </row>
    <row r="368" spans="1:4" x14ac:dyDescent="0.25">
      <c r="A368">
        <v>843</v>
      </c>
      <c r="B368" s="5">
        <v>43408</v>
      </c>
      <c r="C368" t="s">
        <v>92</v>
      </c>
      <c r="D368" s="40">
        <v>673</v>
      </c>
    </row>
    <row r="369" spans="1:4" x14ac:dyDescent="0.25">
      <c r="A369">
        <v>239</v>
      </c>
      <c r="B369" s="5">
        <v>43291</v>
      </c>
      <c r="C369" t="s">
        <v>94</v>
      </c>
      <c r="D369" s="40">
        <v>1874</v>
      </c>
    </row>
    <row r="370" spans="1:4" x14ac:dyDescent="0.25">
      <c r="A370">
        <v>396</v>
      </c>
      <c r="B370" s="5">
        <v>43319</v>
      </c>
      <c r="C370" t="s">
        <v>94</v>
      </c>
      <c r="D370" s="40">
        <v>1632</v>
      </c>
    </row>
    <row r="371" spans="1:4" x14ac:dyDescent="0.25">
      <c r="A371">
        <v>451</v>
      </c>
      <c r="B371" s="5">
        <v>43329</v>
      </c>
      <c r="C371" t="s">
        <v>93</v>
      </c>
      <c r="D371" s="40">
        <v>578</v>
      </c>
    </row>
    <row r="372" spans="1:4" x14ac:dyDescent="0.25">
      <c r="A372">
        <v>596</v>
      </c>
      <c r="B372" s="5">
        <v>43356</v>
      </c>
      <c r="C372" t="s">
        <v>92</v>
      </c>
      <c r="D372" s="40">
        <v>1330</v>
      </c>
    </row>
    <row r="373" spans="1:4" x14ac:dyDescent="0.25">
      <c r="A373">
        <v>814</v>
      </c>
      <c r="B373" s="5">
        <v>43401</v>
      </c>
      <c r="C373" t="s">
        <v>92</v>
      </c>
      <c r="D373" s="40">
        <v>1094</v>
      </c>
    </row>
    <row r="374" spans="1:4" x14ac:dyDescent="0.25">
      <c r="A374">
        <v>996</v>
      </c>
      <c r="B374" s="5">
        <v>43434</v>
      </c>
      <c r="C374" t="s">
        <v>92</v>
      </c>
      <c r="D374" s="40">
        <v>1620</v>
      </c>
    </row>
    <row r="375" spans="1:4" x14ac:dyDescent="0.25">
      <c r="A375">
        <v>776</v>
      </c>
      <c r="B375" s="5">
        <v>43393</v>
      </c>
      <c r="C375" t="s">
        <v>93</v>
      </c>
      <c r="D375" s="40">
        <v>1836</v>
      </c>
    </row>
    <row r="376" spans="1:4" x14ac:dyDescent="0.25">
      <c r="A376">
        <v>78</v>
      </c>
      <c r="B376" s="5">
        <v>43264</v>
      </c>
      <c r="C376" t="s">
        <v>93</v>
      </c>
      <c r="D376" s="40">
        <v>1528</v>
      </c>
    </row>
    <row r="377" spans="1:4" x14ac:dyDescent="0.25">
      <c r="A377">
        <v>666</v>
      </c>
      <c r="B377" s="5">
        <v>43369</v>
      </c>
      <c r="C377" t="s">
        <v>94</v>
      </c>
      <c r="D377" s="40">
        <v>728</v>
      </c>
    </row>
    <row r="378" spans="1:4" x14ac:dyDescent="0.25">
      <c r="A378">
        <v>58</v>
      </c>
      <c r="B378" s="5">
        <v>43260</v>
      </c>
      <c r="C378" t="s">
        <v>93</v>
      </c>
      <c r="D378" s="40">
        <v>1052</v>
      </c>
    </row>
    <row r="379" spans="1:4" x14ac:dyDescent="0.25">
      <c r="A379">
        <v>491</v>
      </c>
      <c r="B379" s="5">
        <v>43335</v>
      </c>
      <c r="C379" t="s">
        <v>93</v>
      </c>
      <c r="D379" s="40">
        <v>1189</v>
      </c>
    </row>
    <row r="380" spans="1:4" x14ac:dyDescent="0.25">
      <c r="A380">
        <v>679</v>
      </c>
      <c r="B380" s="5">
        <v>43373</v>
      </c>
      <c r="C380" t="s">
        <v>93</v>
      </c>
      <c r="D380" s="40">
        <v>752</v>
      </c>
    </row>
    <row r="381" spans="1:4" x14ac:dyDescent="0.25">
      <c r="A381">
        <v>725</v>
      </c>
      <c r="B381" s="5">
        <v>43385</v>
      </c>
      <c r="C381" t="s">
        <v>92</v>
      </c>
      <c r="D381" s="40">
        <v>1713</v>
      </c>
    </row>
    <row r="382" spans="1:4" x14ac:dyDescent="0.25">
      <c r="A382">
        <v>668</v>
      </c>
      <c r="B382" s="5">
        <v>43369</v>
      </c>
      <c r="C382" t="s">
        <v>93</v>
      </c>
      <c r="D382" s="40">
        <v>1653</v>
      </c>
    </row>
    <row r="383" spans="1:4" x14ac:dyDescent="0.25">
      <c r="A383">
        <v>880</v>
      </c>
      <c r="B383" s="5">
        <v>43415</v>
      </c>
      <c r="C383" t="s">
        <v>92</v>
      </c>
      <c r="D383" s="40">
        <v>1133</v>
      </c>
    </row>
    <row r="384" spans="1:4" x14ac:dyDescent="0.25">
      <c r="A384">
        <v>746</v>
      </c>
      <c r="B384" s="5">
        <v>43387</v>
      </c>
      <c r="C384" t="s">
        <v>93</v>
      </c>
      <c r="D384" s="40">
        <v>1269</v>
      </c>
    </row>
    <row r="385" spans="1:4" x14ac:dyDescent="0.25">
      <c r="A385">
        <v>84</v>
      </c>
      <c r="B385" s="5">
        <v>43265</v>
      </c>
      <c r="C385" t="s">
        <v>92</v>
      </c>
      <c r="D385" s="40">
        <v>738</v>
      </c>
    </row>
    <row r="386" spans="1:4" x14ac:dyDescent="0.25">
      <c r="A386">
        <v>105</v>
      </c>
      <c r="B386" s="5">
        <v>43268</v>
      </c>
      <c r="C386" t="s">
        <v>92</v>
      </c>
      <c r="D386" s="40">
        <v>1603</v>
      </c>
    </row>
    <row r="387" spans="1:4" x14ac:dyDescent="0.25">
      <c r="A387">
        <v>273</v>
      </c>
      <c r="B387" s="5">
        <v>43296</v>
      </c>
      <c r="C387" t="s">
        <v>92</v>
      </c>
      <c r="D387" s="40">
        <v>1437</v>
      </c>
    </row>
    <row r="388" spans="1:4" x14ac:dyDescent="0.25">
      <c r="A388">
        <v>24</v>
      </c>
      <c r="B388" s="5">
        <v>43255</v>
      </c>
      <c r="C388" t="s">
        <v>93</v>
      </c>
      <c r="D388" s="40">
        <v>1180</v>
      </c>
    </row>
    <row r="389" spans="1:4" x14ac:dyDescent="0.25">
      <c r="A389">
        <v>885</v>
      </c>
      <c r="B389" s="5">
        <v>43415</v>
      </c>
      <c r="C389" t="s">
        <v>92</v>
      </c>
      <c r="D389" s="40">
        <v>671</v>
      </c>
    </row>
    <row r="390" spans="1:4" x14ac:dyDescent="0.25">
      <c r="A390">
        <v>171</v>
      </c>
      <c r="B390" s="5">
        <v>43279</v>
      </c>
      <c r="C390" t="s">
        <v>93</v>
      </c>
      <c r="D390" s="40">
        <v>1163</v>
      </c>
    </row>
    <row r="391" spans="1:4" x14ac:dyDescent="0.25">
      <c r="A391">
        <v>743</v>
      </c>
      <c r="B391" s="5">
        <v>43387</v>
      </c>
      <c r="C391" t="s">
        <v>94</v>
      </c>
      <c r="D391" s="40">
        <v>1888</v>
      </c>
    </row>
    <row r="392" spans="1:4" x14ac:dyDescent="0.25">
      <c r="A392">
        <v>104</v>
      </c>
      <c r="B392" s="5">
        <v>43268</v>
      </c>
      <c r="C392" t="s">
        <v>94</v>
      </c>
      <c r="D392" s="40">
        <v>1154</v>
      </c>
    </row>
    <row r="393" spans="1:4" x14ac:dyDescent="0.25">
      <c r="A393">
        <v>598</v>
      </c>
      <c r="B393" s="5">
        <v>43356</v>
      </c>
      <c r="C393" t="s">
        <v>94</v>
      </c>
      <c r="D393" s="40">
        <v>898</v>
      </c>
    </row>
    <row r="394" spans="1:4" x14ac:dyDescent="0.25">
      <c r="A394">
        <v>266</v>
      </c>
      <c r="B394" s="5">
        <v>43296</v>
      </c>
      <c r="C394" t="s">
        <v>93</v>
      </c>
      <c r="D394" s="40">
        <v>993</v>
      </c>
    </row>
    <row r="395" spans="1:4" x14ac:dyDescent="0.25">
      <c r="A395">
        <v>435</v>
      </c>
      <c r="B395" s="5">
        <v>43327</v>
      </c>
      <c r="C395" t="s">
        <v>92</v>
      </c>
      <c r="D395" s="40">
        <v>1908</v>
      </c>
    </row>
    <row r="396" spans="1:4" x14ac:dyDescent="0.25">
      <c r="A396">
        <v>573</v>
      </c>
      <c r="B396" s="5">
        <v>43350</v>
      </c>
      <c r="C396" t="s">
        <v>94</v>
      </c>
      <c r="D396" s="40">
        <v>1304</v>
      </c>
    </row>
    <row r="397" spans="1:4" x14ac:dyDescent="0.25">
      <c r="A397">
        <v>474</v>
      </c>
      <c r="B397" s="5">
        <v>43333</v>
      </c>
      <c r="C397" t="s">
        <v>93</v>
      </c>
      <c r="D397" s="40">
        <v>892</v>
      </c>
    </row>
    <row r="398" spans="1:4" x14ac:dyDescent="0.25">
      <c r="A398">
        <v>203</v>
      </c>
      <c r="B398" s="5">
        <v>43285</v>
      </c>
      <c r="C398" t="s">
        <v>93</v>
      </c>
      <c r="D398" s="40">
        <v>745</v>
      </c>
    </row>
    <row r="399" spans="1:4" x14ac:dyDescent="0.25">
      <c r="A399">
        <v>481</v>
      </c>
      <c r="B399" s="5">
        <v>43334</v>
      </c>
      <c r="C399" t="s">
        <v>92</v>
      </c>
      <c r="D399" s="40">
        <v>527</v>
      </c>
    </row>
    <row r="400" spans="1:4" x14ac:dyDescent="0.25">
      <c r="A400">
        <v>969</v>
      </c>
      <c r="B400" s="5">
        <v>43429</v>
      </c>
      <c r="C400" t="s">
        <v>94</v>
      </c>
      <c r="D400" s="40">
        <v>1543</v>
      </c>
    </row>
    <row r="401" spans="1:4" x14ac:dyDescent="0.25">
      <c r="A401">
        <v>379</v>
      </c>
      <c r="B401" s="5">
        <v>43315</v>
      </c>
      <c r="C401" t="s">
        <v>93</v>
      </c>
      <c r="D401" s="40">
        <v>1131</v>
      </c>
    </row>
    <row r="402" spans="1:4" x14ac:dyDescent="0.25">
      <c r="A402">
        <v>618</v>
      </c>
      <c r="B402" s="5">
        <v>43362</v>
      </c>
      <c r="C402" t="s">
        <v>94</v>
      </c>
      <c r="D402" s="40">
        <v>1863</v>
      </c>
    </row>
    <row r="403" spans="1:4" x14ac:dyDescent="0.25">
      <c r="A403">
        <v>694</v>
      </c>
      <c r="B403" s="5">
        <v>43378</v>
      </c>
      <c r="C403" t="s">
        <v>94</v>
      </c>
      <c r="D403" s="40">
        <v>1245</v>
      </c>
    </row>
    <row r="404" spans="1:4" x14ac:dyDescent="0.25">
      <c r="A404">
        <v>968</v>
      </c>
      <c r="B404" s="5">
        <v>43429</v>
      </c>
      <c r="C404" t="s">
        <v>92</v>
      </c>
      <c r="D404" s="40">
        <v>540</v>
      </c>
    </row>
    <row r="405" spans="1:4" x14ac:dyDescent="0.25">
      <c r="A405">
        <v>546</v>
      </c>
      <c r="B405" s="5">
        <v>43347</v>
      </c>
      <c r="C405" t="s">
        <v>94</v>
      </c>
      <c r="D405" s="40">
        <v>881</v>
      </c>
    </row>
    <row r="406" spans="1:4" x14ac:dyDescent="0.25">
      <c r="A406">
        <v>918</v>
      </c>
      <c r="B406" s="5">
        <v>43420</v>
      </c>
      <c r="C406" t="s">
        <v>94</v>
      </c>
      <c r="D406" s="40">
        <v>1219</v>
      </c>
    </row>
    <row r="407" spans="1:4" x14ac:dyDescent="0.25">
      <c r="A407">
        <v>993</v>
      </c>
      <c r="B407" s="5">
        <v>43434</v>
      </c>
      <c r="C407" t="s">
        <v>94</v>
      </c>
      <c r="D407" s="40">
        <v>858</v>
      </c>
    </row>
    <row r="408" spans="1:4" x14ac:dyDescent="0.25">
      <c r="A408">
        <v>854</v>
      </c>
      <c r="B408" s="5">
        <v>43410</v>
      </c>
      <c r="C408" t="s">
        <v>93</v>
      </c>
      <c r="D408" s="40">
        <v>1183</v>
      </c>
    </row>
    <row r="409" spans="1:4" x14ac:dyDescent="0.25">
      <c r="A409">
        <v>460</v>
      </c>
      <c r="B409" s="5">
        <v>43331</v>
      </c>
      <c r="C409" t="s">
        <v>94</v>
      </c>
      <c r="D409" s="40">
        <v>1737</v>
      </c>
    </row>
    <row r="410" spans="1:4" x14ac:dyDescent="0.25">
      <c r="A410">
        <v>938</v>
      </c>
      <c r="B410" s="5">
        <v>43423</v>
      </c>
      <c r="C410" t="s">
        <v>93</v>
      </c>
      <c r="D410" s="40">
        <v>1924</v>
      </c>
    </row>
    <row r="411" spans="1:4" x14ac:dyDescent="0.25">
      <c r="A411">
        <v>452</v>
      </c>
      <c r="B411" s="5">
        <v>43329</v>
      </c>
      <c r="C411" t="s">
        <v>93</v>
      </c>
      <c r="D411" s="40">
        <v>1279</v>
      </c>
    </row>
    <row r="412" spans="1:4" x14ac:dyDescent="0.25">
      <c r="A412">
        <v>232</v>
      </c>
      <c r="B412" s="5">
        <v>43290</v>
      </c>
      <c r="C412" t="s">
        <v>93</v>
      </c>
      <c r="D412" s="40">
        <v>1681</v>
      </c>
    </row>
    <row r="413" spans="1:4" x14ac:dyDescent="0.25">
      <c r="A413">
        <v>681</v>
      </c>
      <c r="B413" s="5">
        <v>43375</v>
      </c>
      <c r="C413" t="s">
        <v>92</v>
      </c>
      <c r="D413" s="40">
        <v>1380</v>
      </c>
    </row>
    <row r="414" spans="1:4" x14ac:dyDescent="0.25">
      <c r="A414">
        <v>138</v>
      </c>
      <c r="B414" s="5">
        <v>43274</v>
      </c>
      <c r="C414" t="s">
        <v>92</v>
      </c>
      <c r="D414" s="40">
        <v>1539</v>
      </c>
    </row>
    <row r="415" spans="1:4" x14ac:dyDescent="0.25">
      <c r="A415">
        <v>964</v>
      </c>
      <c r="B415" s="5">
        <v>43428</v>
      </c>
      <c r="C415" t="s">
        <v>93</v>
      </c>
      <c r="D415" s="40">
        <v>1286</v>
      </c>
    </row>
    <row r="416" spans="1:4" x14ac:dyDescent="0.25">
      <c r="A416">
        <v>661</v>
      </c>
      <c r="B416" s="5">
        <v>43368</v>
      </c>
      <c r="C416" t="s">
        <v>92</v>
      </c>
      <c r="D416" s="40">
        <v>1035</v>
      </c>
    </row>
    <row r="417" spans="1:4" x14ac:dyDescent="0.25">
      <c r="A417">
        <v>73</v>
      </c>
      <c r="B417" s="5">
        <v>43264</v>
      </c>
      <c r="C417" t="s">
        <v>93</v>
      </c>
      <c r="D417" s="40">
        <v>1924</v>
      </c>
    </row>
    <row r="418" spans="1:4" x14ac:dyDescent="0.25">
      <c r="A418">
        <v>552</v>
      </c>
      <c r="B418" s="5">
        <v>43347</v>
      </c>
      <c r="C418" t="s">
        <v>93</v>
      </c>
      <c r="D418" s="40">
        <v>1555</v>
      </c>
    </row>
    <row r="419" spans="1:4" x14ac:dyDescent="0.25">
      <c r="A419">
        <v>391</v>
      </c>
      <c r="B419" s="5">
        <v>43318</v>
      </c>
      <c r="C419" t="s">
        <v>93</v>
      </c>
      <c r="D419" s="40">
        <v>900</v>
      </c>
    </row>
    <row r="420" spans="1:4" x14ac:dyDescent="0.25">
      <c r="A420">
        <v>156</v>
      </c>
      <c r="B420" s="5">
        <v>43277</v>
      </c>
      <c r="C420" t="s">
        <v>92</v>
      </c>
      <c r="D420" s="40">
        <v>971</v>
      </c>
    </row>
    <row r="421" spans="1:4" x14ac:dyDescent="0.25">
      <c r="A421">
        <v>614</v>
      </c>
      <c r="B421" s="5">
        <v>43360</v>
      </c>
      <c r="C421" t="s">
        <v>93</v>
      </c>
      <c r="D421" s="40">
        <v>608</v>
      </c>
    </row>
    <row r="422" spans="1:4" x14ac:dyDescent="0.25">
      <c r="A422">
        <v>724</v>
      </c>
      <c r="B422" s="5">
        <v>43385</v>
      </c>
      <c r="C422" t="s">
        <v>94</v>
      </c>
      <c r="D422" s="40">
        <v>1919</v>
      </c>
    </row>
    <row r="423" spans="1:4" x14ac:dyDescent="0.25">
      <c r="A423">
        <v>257</v>
      </c>
      <c r="B423" s="5">
        <v>43294</v>
      </c>
      <c r="C423" t="s">
        <v>92</v>
      </c>
      <c r="D423" s="40">
        <v>682</v>
      </c>
    </row>
    <row r="424" spans="1:4" x14ac:dyDescent="0.25">
      <c r="A424">
        <v>957</v>
      </c>
      <c r="B424" s="5">
        <v>43427</v>
      </c>
      <c r="C424" t="s">
        <v>94</v>
      </c>
      <c r="D424" s="40">
        <v>635</v>
      </c>
    </row>
    <row r="425" spans="1:4" x14ac:dyDescent="0.25">
      <c r="A425">
        <v>229</v>
      </c>
      <c r="B425" s="5">
        <v>43289</v>
      </c>
      <c r="C425" t="s">
        <v>94</v>
      </c>
      <c r="D425" s="40">
        <v>1099</v>
      </c>
    </row>
    <row r="426" spans="1:4" x14ac:dyDescent="0.25">
      <c r="A426">
        <v>399</v>
      </c>
      <c r="B426" s="5">
        <v>43320</v>
      </c>
      <c r="C426" t="s">
        <v>94</v>
      </c>
      <c r="D426" s="40">
        <v>1733</v>
      </c>
    </row>
    <row r="427" spans="1:4" x14ac:dyDescent="0.25">
      <c r="A427">
        <v>809</v>
      </c>
      <c r="B427" s="5">
        <v>43401</v>
      </c>
      <c r="C427" t="s">
        <v>93</v>
      </c>
      <c r="D427" s="40">
        <v>1990</v>
      </c>
    </row>
    <row r="428" spans="1:4" x14ac:dyDescent="0.25">
      <c r="A428">
        <v>299</v>
      </c>
      <c r="B428" s="5">
        <v>43301</v>
      </c>
      <c r="C428" t="s">
        <v>94</v>
      </c>
      <c r="D428" s="40">
        <v>544</v>
      </c>
    </row>
    <row r="429" spans="1:4" x14ac:dyDescent="0.25">
      <c r="A429">
        <v>1000</v>
      </c>
      <c r="B429" s="5">
        <v>43434</v>
      </c>
      <c r="C429" t="s">
        <v>94</v>
      </c>
      <c r="D429" s="40">
        <v>1060</v>
      </c>
    </row>
    <row r="430" spans="1:4" x14ac:dyDescent="0.25">
      <c r="A430">
        <v>153</v>
      </c>
      <c r="B430" s="5">
        <v>43276</v>
      </c>
      <c r="C430" t="s">
        <v>93</v>
      </c>
      <c r="D430" s="40">
        <v>695</v>
      </c>
    </row>
    <row r="431" spans="1:4" x14ac:dyDescent="0.25">
      <c r="A431">
        <v>805</v>
      </c>
      <c r="B431" s="5">
        <v>43399</v>
      </c>
      <c r="C431" t="s">
        <v>92</v>
      </c>
      <c r="D431" s="40">
        <v>554</v>
      </c>
    </row>
    <row r="432" spans="1:4" x14ac:dyDescent="0.25">
      <c r="A432">
        <v>794</v>
      </c>
      <c r="B432" s="5">
        <v>43396</v>
      </c>
      <c r="C432" t="s">
        <v>92</v>
      </c>
      <c r="D432" s="40">
        <v>1375</v>
      </c>
    </row>
    <row r="433" spans="1:4" x14ac:dyDescent="0.25">
      <c r="A433">
        <v>798</v>
      </c>
      <c r="B433" s="5">
        <v>43397</v>
      </c>
      <c r="C433" t="s">
        <v>92</v>
      </c>
      <c r="D433" s="40">
        <v>1777</v>
      </c>
    </row>
    <row r="434" spans="1:4" x14ac:dyDescent="0.25">
      <c r="A434">
        <v>242</v>
      </c>
      <c r="B434" s="5">
        <v>43292</v>
      </c>
      <c r="C434" t="s">
        <v>92</v>
      </c>
      <c r="D434" s="40">
        <v>944</v>
      </c>
    </row>
    <row r="435" spans="1:4" x14ac:dyDescent="0.25">
      <c r="A435">
        <v>139</v>
      </c>
      <c r="B435" s="5">
        <v>43274</v>
      </c>
      <c r="C435" t="s">
        <v>94</v>
      </c>
      <c r="D435" s="40">
        <v>608</v>
      </c>
    </row>
    <row r="436" spans="1:4" x14ac:dyDescent="0.25">
      <c r="A436">
        <v>956</v>
      </c>
      <c r="B436" s="5">
        <v>43427</v>
      </c>
      <c r="C436" t="s">
        <v>94</v>
      </c>
      <c r="D436" s="40">
        <v>1000</v>
      </c>
    </row>
    <row r="437" spans="1:4" x14ac:dyDescent="0.25">
      <c r="A437">
        <v>297</v>
      </c>
      <c r="B437" s="5">
        <v>43300</v>
      </c>
      <c r="C437" t="s">
        <v>92</v>
      </c>
      <c r="D437" s="40">
        <v>1620</v>
      </c>
    </row>
    <row r="438" spans="1:4" x14ac:dyDescent="0.25">
      <c r="A438">
        <v>550</v>
      </c>
      <c r="B438" s="5">
        <v>43347</v>
      </c>
      <c r="C438" t="s">
        <v>92</v>
      </c>
      <c r="D438" s="40">
        <v>928</v>
      </c>
    </row>
    <row r="439" spans="1:4" x14ac:dyDescent="0.25">
      <c r="A439">
        <v>461</v>
      </c>
      <c r="B439" s="5">
        <v>43331</v>
      </c>
      <c r="C439" t="s">
        <v>93</v>
      </c>
      <c r="D439" s="40">
        <v>1594</v>
      </c>
    </row>
    <row r="440" spans="1:4" x14ac:dyDescent="0.25">
      <c r="A440">
        <v>832</v>
      </c>
      <c r="B440" s="5">
        <v>43405</v>
      </c>
      <c r="C440" t="s">
        <v>93</v>
      </c>
      <c r="D440" s="40">
        <v>1990</v>
      </c>
    </row>
    <row r="441" spans="1:4" x14ac:dyDescent="0.25">
      <c r="A441">
        <v>759</v>
      </c>
      <c r="B441" s="5">
        <v>43389</v>
      </c>
      <c r="C441" t="s">
        <v>92</v>
      </c>
      <c r="D441" s="40">
        <v>664</v>
      </c>
    </row>
    <row r="442" spans="1:4" x14ac:dyDescent="0.25">
      <c r="A442">
        <v>419</v>
      </c>
      <c r="B442" s="5">
        <v>43323</v>
      </c>
      <c r="C442" t="s">
        <v>93</v>
      </c>
      <c r="D442" s="40">
        <v>1024</v>
      </c>
    </row>
    <row r="443" spans="1:4" x14ac:dyDescent="0.25">
      <c r="A443">
        <v>241</v>
      </c>
      <c r="B443" s="5">
        <v>43292</v>
      </c>
      <c r="C443" t="s">
        <v>94</v>
      </c>
      <c r="D443" s="40">
        <v>725</v>
      </c>
    </row>
    <row r="444" spans="1:4" x14ac:dyDescent="0.25">
      <c r="A444">
        <v>96</v>
      </c>
      <c r="B444" s="5">
        <v>43267</v>
      </c>
      <c r="C444" t="s">
        <v>93</v>
      </c>
      <c r="D444" s="40">
        <v>1670</v>
      </c>
    </row>
    <row r="445" spans="1:4" x14ac:dyDescent="0.25">
      <c r="A445">
        <v>751</v>
      </c>
      <c r="B445" s="5">
        <v>43388</v>
      </c>
      <c r="C445" t="s">
        <v>93</v>
      </c>
      <c r="D445" s="40">
        <v>1246</v>
      </c>
    </row>
    <row r="446" spans="1:4" x14ac:dyDescent="0.25">
      <c r="A446">
        <v>375</v>
      </c>
      <c r="B446" s="5">
        <v>43314</v>
      </c>
      <c r="C446" t="s">
        <v>94</v>
      </c>
      <c r="D446" s="40">
        <v>1507</v>
      </c>
    </row>
    <row r="447" spans="1:4" x14ac:dyDescent="0.25">
      <c r="A447">
        <v>384</v>
      </c>
      <c r="B447" s="5">
        <v>43316</v>
      </c>
      <c r="C447" t="s">
        <v>92</v>
      </c>
      <c r="D447" s="40">
        <v>1238</v>
      </c>
    </row>
    <row r="448" spans="1:4" x14ac:dyDescent="0.25">
      <c r="A448">
        <v>484</v>
      </c>
      <c r="B448" s="5">
        <v>43334</v>
      </c>
      <c r="C448" t="s">
        <v>93</v>
      </c>
      <c r="D448" s="40">
        <v>1373</v>
      </c>
    </row>
    <row r="449" spans="1:4" x14ac:dyDescent="0.25">
      <c r="A449">
        <v>216</v>
      </c>
      <c r="B449" s="5">
        <v>43287</v>
      </c>
      <c r="C449" t="s">
        <v>94</v>
      </c>
      <c r="D449" s="40">
        <v>1415</v>
      </c>
    </row>
    <row r="450" spans="1:4" x14ac:dyDescent="0.25">
      <c r="A450">
        <v>329</v>
      </c>
      <c r="B450" s="5">
        <v>43305</v>
      </c>
      <c r="C450" t="s">
        <v>92</v>
      </c>
      <c r="D450" s="40">
        <v>1878</v>
      </c>
    </row>
    <row r="451" spans="1:4" x14ac:dyDescent="0.25">
      <c r="A451">
        <v>427</v>
      </c>
      <c r="B451" s="5">
        <v>43325</v>
      </c>
      <c r="C451" t="s">
        <v>92</v>
      </c>
      <c r="D451" s="40">
        <v>510</v>
      </c>
    </row>
    <row r="452" spans="1:4" x14ac:dyDescent="0.25">
      <c r="A452">
        <v>585</v>
      </c>
      <c r="B452" s="5">
        <v>43354</v>
      </c>
      <c r="C452" t="s">
        <v>93</v>
      </c>
      <c r="D452" s="40">
        <v>565</v>
      </c>
    </row>
    <row r="453" spans="1:4" x14ac:dyDescent="0.25">
      <c r="A453">
        <v>829</v>
      </c>
      <c r="B453" s="5">
        <v>43405</v>
      </c>
      <c r="C453" t="s">
        <v>94</v>
      </c>
      <c r="D453" s="40">
        <v>1800</v>
      </c>
    </row>
    <row r="454" spans="1:4" x14ac:dyDescent="0.25">
      <c r="A454">
        <v>150</v>
      </c>
      <c r="B454" s="5">
        <v>43276</v>
      </c>
      <c r="C454" t="s">
        <v>93</v>
      </c>
      <c r="D454" s="40">
        <v>616</v>
      </c>
    </row>
    <row r="455" spans="1:4" x14ac:dyDescent="0.25">
      <c r="A455">
        <v>972</v>
      </c>
      <c r="B455" s="5">
        <v>43431</v>
      </c>
      <c r="C455" t="s">
        <v>93</v>
      </c>
      <c r="D455" s="40">
        <v>1816</v>
      </c>
    </row>
    <row r="456" spans="1:4" x14ac:dyDescent="0.25">
      <c r="A456">
        <v>544</v>
      </c>
      <c r="B456" s="5">
        <v>43346</v>
      </c>
      <c r="C456" t="s">
        <v>92</v>
      </c>
      <c r="D456" s="40">
        <v>1368</v>
      </c>
    </row>
    <row r="457" spans="1:4" x14ac:dyDescent="0.25">
      <c r="A457">
        <v>72</v>
      </c>
      <c r="B457" s="5">
        <v>43264</v>
      </c>
      <c r="C457" t="s">
        <v>93</v>
      </c>
      <c r="D457" s="40">
        <v>1037</v>
      </c>
    </row>
    <row r="458" spans="1:4" x14ac:dyDescent="0.25">
      <c r="A458">
        <v>659</v>
      </c>
      <c r="B458" s="5">
        <v>43368</v>
      </c>
      <c r="C458" t="s">
        <v>94</v>
      </c>
      <c r="D458" s="40">
        <v>1652</v>
      </c>
    </row>
    <row r="459" spans="1:4" x14ac:dyDescent="0.25">
      <c r="A459">
        <v>404</v>
      </c>
      <c r="B459" s="5">
        <v>43321</v>
      </c>
      <c r="C459" t="s">
        <v>93</v>
      </c>
      <c r="D459" s="40">
        <v>1159</v>
      </c>
    </row>
    <row r="460" spans="1:4" x14ac:dyDescent="0.25">
      <c r="A460">
        <v>279</v>
      </c>
      <c r="B460" s="5">
        <v>43297</v>
      </c>
      <c r="C460" t="s">
        <v>94</v>
      </c>
      <c r="D460" s="40">
        <v>848</v>
      </c>
    </row>
    <row r="461" spans="1:4" x14ac:dyDescent="0.25">
      <c r="A461">
        <v>28</v>
      </c>
      <c r="B461" s="5">
        <v>43255</v>
      </c>
      <c r="C461" t="s">
        <v>93</v>
      </c>
      <c r="D461" s="40">
        <v>1461</v>
      </c>
    </row>
    <row r="462" spans="1:4" x14ac:dyDescent="0.25">
      <c r="A462">
        <v>756</v>
      </c>
      <c r="B462" s="5">
        <v>43389</v>
      </c>
      <c r="C462" t="s">
        <v>92</v>
      </c>
      <c r="D462" s="40">
        <v>1248</v>
      </c>
    </row>
    <row r="463" spans="1:4" x14ac:dyDescent="0.25">
      <c r="A463">
        <v>800</v>
      </c>
      <c r="B463" s="5">
        <v>43398</v>
      </c>
      <c r="C463" t="s">
        <v>93</v>
      </c>
      <c r="D463" s="40">
        <v>1562</v>
      </c>
    </row>
    <row r="464" spans="1:4" x14ac:dyDescent="0.25">
      <c r="A464">
        <v>315</v>
      </c>
      <c r="B464" s="5">
        <v>43303</v>
      </c>
      <c r="C464" t="s">
        <v>92</v>
      </c>
      <c r="D464" s="40">
        <v>1762</v>
      </c>
    </row>
    <row r="465" spans="1:4" x14ac:dyDescent="0.25">
      <c r="A465">
        <v>783</v>
      </c>
      <c r="B465" s="5">
        <v>43394</v>
      </c>
      <c r="C465" t="s">
        <v>94</v>
      </c>
      <c r="D465" s="40">
        <v>1215</v>
      </c>
    </row>
    <row r="466" spans="1:4" x14ac:dyDescent="0.25">
      <c r="A466">
        <v>912</v>
      </c>
      <c r="B466" s="5">
        <v>43420</v>
      </c>
      <c r="C466" t="s">
        <v>92</v>
      </c>
      <c r="D466" s="40">
        <v>1892</v>
      </c>
    </row>
    <row r="467" spans="1:4" x14ac:dyDescent="0.25">
      <c r="A467">
        <v>434</v>
      </c>
      <c r="B467" s="5">
        <v>43327</v>
      </c>
      <c r="C467" t="s">
        <v>94</v>
      </c>
      <c r="D467" s="40">
        <v>1091</v>
      </c>
    </row>
    <row r="468" spans="1:4" x14ac:dyDescent="0.25">
      <c r="A468">
        <v>921</v>
      </c>
      <c r="B468" s="5">
        <v>43420</v>
      </c>
      <c r="C468" t="s">
        <v>94</v>
      </c>
      <c r="D468" s="40">
        <v>1273</v>
      </c>
    </row>
    <row r="469" spans="1:4" x14ac:dyDescent="0.25">
      <c r="A469">
        <v>91</v>
      </c>
      <c r="B469" s="5">
        <v>43266</v>
      </c>
      <c r="C469" t="s">
        <v>94</v>
      </c>
      <c r="D469" s="40">
        <v>663</v>
      </c>
    </row>
    <row r="470" spans="1:4" x14ac:dyDescent="0.25">
      <c r="A470">
        <v>707</v>
      </c>
      <c r="B470" s="5">
        <v>43381</v>
      </c>
      <c r="C470" t="s">
        <v>92</v>
      </c>
      <c r="D470" s="40">
        <v>1098</v>
      </c>
    </row>
    <row r="471" spans="1:4" x14ac:dyDescent="0.25">
      <c r="A471">
        <v>719</v>
      </c>
      <c r="B471" s="5">
        <v>43384</v>
      </c>
      <c r="C471" t="s">
        <v>93</v>
      </c>
      <c r="D471" s="40">
        <v>1506</v>
      </c>
    </row>
    <row r="472" spans="1:4" x14ac:dyDescent="0.25">
      <c r="A472">
        <v>911</v>
      </c>
      <c r="B472" s="5">
        <v>43419</v>
      </c>
      <c r="C472" t="s">
        <v>94</v>
      </c>
      <c r="D472" s="40">
        <v>1121</v>
      </c>
    </row>
    <row r="473" spans="1:4" x14ac:dyDescent="0.25">
      <c r="A473">
        <v>23</v>
      </c>
      <c r="B473" s="5">
        <v>43255</v>
      </c>
      <c r="C473" t="s">
        <v>93</v>
      </c>
      <c r="D473" s="40">
        <v>675</v>
      </c>
    </row>
    <row r="474" spans="1:4" x14ac:dyDescent="0.25">
      <c r="A474">
        <v>447</v>
      </c>
      <c r="B474" s="5">
        <v>43328</v>
      </c>
      <c r="C474" t="s">
        <v>94</v>
      </c>
      <c r="D474" s="40">
        <v>753</v>
      </c>
    </row>
    <row r="475" spans="1:4" x14ac:dyDescent="0.25">
      <c r="A475">
        <v>209</v>
      </c>
      <c r="B475" s="5">
        <v>43286</v>
      </c>
      <c r="C475" t="s">
        <v>94</v>
      </c>
      <c r="D475" s="40">
        <v>1390</v>
      </c>
    </row>
    <row r="476" spans="1:4" x14ac:dyDescent="0.25">
      <c r="A476">
        <v>604</v>
      </c>
      <c r="B476" s="5">
        <v>43357</v>
      </c>
      <c r="C476" t="s">
        <v>93</v>
      </c>
      <c r="D476" s="40">
        <v>1589</v>
      </c>
    </row>
    <row r="477" spans="1:4" x14ac:dyDescent="0.25">
      <c r="A477">
        <v>582</v>
      </c>
      <c r="B477" s="5">
        <v>43354</v>
      </c>
      <c r="C477" t="s">
        <v>93</v>
      </c>
      <c r="D477" s="40">
        <v>1694</v>
      </c>
    </row>
    <row r="478" spans="1:4" x14ac:dyDescent="0.25">
      <c r="A478">
        <v>99</v>
      </c>
      <c r="B478" s="5">
        <v>43268</v>
      </c>
      <c r="C478" t="s">
        <v>94</v>
      </c>
      <c r="D478" s="40">
        <v>1184</v>
      </c>
    </row>
    <row r="479" spans="1:4" x14ac:dyDescent="0.25">
      <c r="A479">
        <v>999</v>
      </c>
      <c r="B479" s="5">
        <v>43434</v>
      </c>
      <c r="C479" t="s">
        <v>92</v>
      </c>
      <c r="D479" s="40">
        <v>1205</v>
      </c>
    </row>
    <row r="480" spans="1:4" x14ac:dyDescent="0.25">
      <c r="A480">
        <v>733</v>
      </c>
      <c r="B480" s="5">
        <v>43386</v>
      </c>
      <c r="C480" t="s">
        <v>94</v>
      </c>
      <c r="D480" s="40">
        <v>956</v>
      </c>
    </row>
    <row r="481" spans="1:4" x14ac:dyDescent="0.25">
      <c r="A481">
        <v>410</v>
      </c>
      <c r="B481" s="5">
        <v>43322</v>
      </c>
      <c r="C481" t="s">
        <v>92</v>
      </c>
      <c r="D481" s="40">
        <v>1456</v>
      </c>
    </row>
    <row r="482" spans="1:4" x14ac:dyDescent="0.25">
      <c r="A482">
        <v>487</v>
      </c>
      <c r="B482" s="5">
        <v>43335</v>
      </c>
      <c r="C482" t="s">
        <v>94</v>
      </c>
      <c r="D482" s="40">
        <v>700</v>
      </c>
    </row>
    <row r="483" spans="1:4" x14ac:dyDescent="0.25">
      <c r="A483">
        <v>985</v>
      </c>
      <c r="B483" s="5">
        <v>43432</v>
      </c>
      <c r="C483" t="s">
        <v>92</v>
      </c>
      <c r="D483" s="40">
        <v>1188</v>
      </c>
    </row>
    <row r="484" spans="1:4" x14ac:dyDescent="0.25">
      <c r="A484">
        <v>825</v>
      </c>
      <c r="B484" s="5">
        <v>43404</v>
      </c>
      <c r="C484" t="s">
        <v>93</v>
      </c>
      <c r="D484" s="40">
        <v>1983</v>
      </c>
    </row>
    <row r="485" spans="1:4" x14ac:dyDescent="0.25">
      <c r="A485">
        <v>935</v>
      </c>
      <c r="B485" s="5">
        <v>43423</v>
      </c>
      <c r="C485" t="s">
        <v>92</v>
      </c>
      <c r="D485" s="40">
        <v>1303</v>
      </c>
    </row>
    <row r="486" spans="1:4" x14ac:dyDescent="0.25">
      <c r="A486">
        <v>286</v>
      </c>
      <c r="B486" s="5">
        <v>43298</v>
      </c>
      <c r="C486" t="s">
        <v>94</v>
      </c>
      <c r="D486" s="40">
        <v>1455</v>
      </c>
    </row>
    <row r="487" spans="1:4" x14ac:dyDescent="0.25">
      <c r="A487">
        <v>288</v>
      </c>
      <c r="B487" s="5">
        <v>43298</v>
      </c>
      <c r="C487" t="s">
        <v>92</v>
      </c>
      <c r="D487" s="40">
        <v>1616</v>
      </c>
    </row>
    <row r="488" spans="1:4" x14ac:dyDescent="0.25">
      <c r="A488">
        <v>142</v>
      </c>
      <c r="B488" s="5">
        <v>43274</v>
      </c>
      <c r="C488" t="s">
        <v>94</v>
      </c>
      <c r="D488" s="40">
        <v>1998</v>
      </c>
    </row>
    <row r="489" spans="1:4" x14ac:dyDescent="0.25">
      <c r="A489">
        <v>839</v>
      </c>
      <c r="B489" s="5">
        <v>43407</v>
      </c>
      <c r="C489" t="s">
        <v>93</v>
      </c>
      <c r="D489" s="40">
        <v>1788</v>
      </c>
    </row>
    <row r="490" spans="1:4" x14ac:dyDescent="0.25">
      <c r="A490">
        <v>630</v>
      </c>
      <c r="B490" s="5">
        <v>43365</v>
      </c>
      <c r="C490" t="s">
        <v>94</v>
      </c>
      <c r="D490" s="40">
        <v>1881</v>
      </c>
    </row>
    <row r="491" spans="1:4" x14ac:dyDescent="0.25">
      <c r="A491">
        <v>926</v>
      </c>
      <c r="B491" s="5">
        <v>43422</v>
      </c>
      <c r="C491" t="s">
        <v>92</v>
      </c>
      <c r="D491" s="40">
        <v>1281</v>
      </c>
    </row>
    <row r="492" spans="1:4" x14ac:dyDescent="0.25">
      <c r="A492">
        <v>365</v>
      </c>
      <c r="B492" s="5">
        <v>43313</v>
      </c>
      <c r="C492" t="s">
        <v>93</v>
      </c>
      <c r="D492" s="40">
        <v>543</v>
      </c>
    </row>
    <row r="493" spans="1:4" x14ac:dyDescent="0.25">
      <c r="A493">
        <v>584</v>
      </c>
      <c r="B493" s="5">
        <v>43354</v>
      </c>
      <c r="C493" t="s">
        <v>92</v>
      </c>
      <c r="D493" s="40">
        <v>659</v>
      </c>
    </row>
    <row r="494" spans="1:4" x14ac:dyDescent="0.25">
      <c r="A494">
        <v>595</v>
      </c>
      <c r="B494" s="5">
        <v>43356</v>
      </c>
      <c r="C494" t="s">
        <v>93</v>
      </c>
      <c r="D494" s="40">
        <v>1988</v>
      </c>
    </row>
    <row r="495" spans="1:4" x14ac:dyDescent="0.25">
      <c r="A495">
        <v>900</v>
      </c>
      <c r="B495" s="5">
        <v>43418</v>
      </c>
      <c r="C495" t="s">
        <v>94</v>
      </c>
      <c r="D495" s="40">
        <v>1710</v>
      </c>
    </row>
    <row r="496" spans="1:4" x14ac:dyDescent="0.25">
      <c r="A496">
        <v>478</v>
      </c>
      <c r="B496" s="5">
        <v>43334</v>
      </c>
      <c r="C496" t="s">
        <v>94</v>
      </c>
      <c r="D496" s="40">
        <v>1481</v>
      </c>
    </row>
    <row r="497" spans="1:4" x14ac:dyDescent="0.25">
      <c r="A497">
        <v>818</v>
      </c>
      <c r="B497" s="5">
        <v>43402</v>
      </c>
      <c r="C497" t="s">
        <v>93</v>
      </c>
      <c r="D497" s="40">
        <v>1330</v>
      </c>
    </row>
    <row r="498" spans="1:4" x14ac:dyDescent="0.25">
      <c r="A498">
        <v>424</v>
      </c>
      <c r="B498" s="5">
        <v>43324</v>
      </c>
      <c r="C498" t="s">
        <v>92</v>
      </c>
      <c r="D498" s="40">
        <v>1613</v>
      </c>
    </row>
    <row r="499" spans="1:4" x14ac:dyDescent="0.25">
      <c r="A499">
        <v>450</v>
      </c>
      <c r="B499" s="5">
        <v>43329</v>
      </c>
      <c r="C499" t="s">
        <v>94</v>
      </c>
      <c r="D499" s="40">
        <v>1845</v>
      </c>
    </row>
    <row r="500" spans="1:4" x14ac:dyDescent="0.25">
      <c r="A500">
        <v>697</v>
      </c>
      <c r="B500" s="5">
        <v>43378</v>
      </c>
      <c r="C500" t="s">
        <v>92</v>
      </c>
      <c r="D500" s="40">
        <v>530</v>
      </c>
    </row>
    <row r="501" spans="1:4" x14ac:dyDescent="0.25">
      <c r="A501">
        <v>893</v>
      </c>
      <c r="B501" s="5">
        <v>43416</v>
      </c>
      <c r="C501" t="s">
        <v>93</v>
      </c>
      <c r="D501" s="40">
        <v>1121</v>
      </c>
    </row>
    <row r="502" spans="1:4" x14ac:dyDescent="0.25">
      <c r="A502">
        <v>412</v>
      </c>
      <c r="B502" s="5">
        <v>43322</v>
      </c>
      <c r="C502" t="s">
        <v>93</v>
      </c>
      <c r="D502" s="40">
        <v>861</v>
      </c>
    </row>
    <row r="503" spans="1:4" x14ac:dyDescent="0.25">
      <c r="A503">
        <v>620</v>
      </c>
      <c r="B503" s="5">
        <v>43363</v>
      </c>
      <c r="C503" t="s">
        <v>93</v>
      </c>
      <c r="D503" s="40">
        <v>1371</v>
      </c>
    </row>
    <row r="504" spans="1:4" x14ac:dyDescent="0.25">
      <c r="A504">
        <v>588</v>
      </c>
      <c r="B504" s="5">
        <v>43355</v>
      </c>
      <c r="C504" t="s">
        <v>94</v>
      </c>
      <c r="D504" s="40">
        <v>719</v>
      </c>
    </row>
    <row r="505" spans="1:4" x14ac:dyDescent="0.25">
      <c r="A505">
        <v>354</v>
      </c>
      <c r="B505" s="5">
        <v>43311</v>
      </c>
      <c r="C505" t="s">
        <v>94</v>
      </c>
      <c r="D505" s="40">
        <v>583</v>
      </c>
    </row>
    <row r="506" spans="1:4" x14ac:dyDescent="0.25">
      <c r="A506">
        <v>680</v>
      </c>
      <c r="B506" s="5">
        <v>43374</v>
      </c>
      <c r="C506" t="s">
        <v>92</v>
      </c>
      <c r="D506" s="40">
        <v>1760</v>
      </c>
    </row>
    <row r="507" spans="1:4" x14ac:dyDescent="0.25">
      <c r="A507">
        <v>642</v>
      </c>
      <c r="B507" s="5">
        <v>43366</v>
      </c>
      <c r="C507" t="s">
        <v>93</v>
      </c>
      <c r="D507" s="40">
        <v>1459</v>
      </c>
    </row>
    <row r="508" spans="1:4" x14ac:dyDescent="0.25">
      <c r="A508">
        <v>569</v>
      </c>
      <c r="B508" s="5">
        <v>43350</v>
      </c>
      <c r="C508" t="s">
        <v>92</v>
      </c>
      <c r="D508" s="40">
        <v>1200</v>
      </c>
    </row>
    <row r="509" spans="1:4" x14ac:dyDescent="0.25">
      <c r="A509">
        <v>578</v>
      </c>
      <c r="B509" s="5">
        <v>43352</v>
      </c>
      <c r="C509" t="s">
        <v>93</v>
      </c>
      <c r="D509" s="40">
        <v>1406</v>
      </c>
    </row>
    <row r="510" spans="1:4" x14ac:dyDescent="0.25">
      <c r="A510">
        <v>125</v>
      </c>
      <c r="B510" s="5">
        <v>43272</v>
      </c>
      <c r="C510" t="s">
        <v>93</v>
      </c>
      <c r="D510" s="40">
        <v>953</v>
      </c>
    </row>
    <row r="511" spans="1:4" x14ac:dyDescent="0.25">
      <c r="A511">
        <v>780</v>
      </c>
      <c r="B511" s="5">
        <v>43393</v>
      </c>
      <c r="C511" t="s">
        <v>92</v>
      </c>
      <c r="D511" s="40">
        <v>1541</v>
      </c>
    </row>
    <row r="512" spans="1:4" x14ac:dyDescent="0.25">
      <c r="A512">
        <v>221</v>
      </c>
      <c r="B512" s="5">
        <v>43288</v>
      </c>
      <c r="C512" t="s">
        <v>92</v>
      </c>
      <c r="D512" s="40">
        <v>1653</v>
      </c>
    </row>
    <row r="513" spans="1:4" x14ac:dyDescent="0.25">
      <c r="A513">
        <v>807</v>
      </c>
      <c r="B513" s="5">
        <v>43400</v>
      </c>
      <c r="C513" t="s">
        <v>94</v>
      </c>
      <c r="D513" s="40">
        <v>1539</v>
      </c>
    </row>
    <row r="514" spans="1:4" x14ac:dyDescent="0.25">
      <c r="A514">
        <v>898</v>
      </c>
      <c r="B514" s="5">
        <v>43417</v>
      </c>
      <c r="C514" t="s">
        <v>94</v>
      </c>
      <c r="D514" s="40">
        <v>1186</v>
      </c>
    </row>
    <row r="515" spans="1:4" x14ac:dyDescent="0.25">
      <c r="A515">
        <v>33</v>
      </c>
      <c r="B515" s="5">
        <v>43256</v>
      </c>
      <c r="C515" t="s">
        <v>93</v>
      </c>
      <c r="D515" s="40">
        <v>1908</v>
      </c>
    </row>
    <row r="516" spans="1:4" x14ac:dyDescent="0.25">
      <c r="A516">
        <v>441</v>
      </c>
      <c r="B516" s="5">
        <v>43328</v>
      </c>
      <c r="C516" t="s">
        <v>94</v>
      </c>
      <c r="D516" s="40">
        <v>700</v>
      </c>
    </row>
    <row r="517" spans="1:4" x14ac:dyDescent="0.25">
      <c r="A517">
        <v>415</v>
      </c>
      <c r="B517" s="5">
        <v>43323</v>
      </c>
      <c r="C517" t="s">
        <v>93</v>
      </c>
      <c r="D517" s="40">
        <v>1260</v>
      </c>
    </row>
    <row r="518" spans="1:4" x14ac:dyDescent="0.25">
      <c r="A518">
        <v>594</v>
      </c>
      <c r="B518" s="5">
        <v>43356</v>
      </c>
      <c r="C518" t="s">
        <v>92</v>
      </c>
      <c r="D518" s="40">
        <v>1594</v>
      </c>
    </row>
    <row r="519" spans="1:4" x14ac:dyDescent="0.25">
      <c r="A519">
        <v>987</v>
      </c>
      <c r="B519" s="5">
        <v>43432</v>
      </c>
      <c r="C519" t="s">
        <v>93</v>
      </c>
      <c r="D519" s="40">
        <v>572</v>
      </c>
    </row>
    <row r="520" spans="1:4" x14ac:dyDescent="0.25">
      <c r="A520">
        <v>745</v>
      </c>
      <c r="B520" s="5">
        <v>43387</v>
      </c>
      <c r="C520" t="s">
        <v>93</v>
      </c>
      <c r="D520" s="40">
        <v>1933</v>
      </c>
    </row>
    <row r="521" spans="1:4" x14ac:dyDescent="0.25">
      <c r="A521">
        <v>103</v>
      </c>
      <c r="B521" s="5">
        <v>43268</v>
      </c>
      <c r="C521" t="s">
        <v>94</v>
      </c>
      <c r="D521" s="40">
        <v>689</v>
      </c>
    </row>
    <row r="522" spans="1:4" x14ac:dyDescent="0.25">
      <c r="A522">
        <v>45</v>
      </c>
      <c r="B522" s="5">
        <v>43258</v>
      </c>
      <c r="C522" t="s">
        <v>94</v>
      </c>
      <c r="D522" s="40">
        <v>859</v>
      </c>
    </row>
    <row r="523" spans="1:4" x14ac:dyDescent="0.25">
      <c r="A523">
        <v>255</v>
      </c>
      <c r="B523" s="5">
        <v>43294</v>
      </c>
      <c r="C523" t="s">
        <v>93</v>
      </c>
      <c r="D523" s="40">
        <v>1243</v>
      </c>
    </row>
    <row r="524" spans="1:4" x14ac:dyDescent="0.25">
      <c r="A524">
        <v>162</v>
      </c>
      <c r="B524" s="5">
        <v>43278</v>
      </c>
      <c r="C524" t="s">
        <v>94</v>
      </c>
      <c r="D524" s="40">
        <v>1090</v>
      </c>
    </row>
    <row r="525" spans="1:4" x14ac:dyDescent="0.25">
      <c r="A525">
        <v>936</v>
      </c>
      <c r="B525" s="5">
        <v>43423</v>
      </c>
      <c r="C525" t="s">
        <v>94</v>
      </c>
      <c r="D525" s="40">
        <v>781</v>
      </c>
    </row>
    <row r="526" spans="1:4" x14ac:dyDescent="0.25">
      <c r="A526">
        <v>828</v>
      </c>
      <c r="B526" s="5">
        <v>43404</v>
      </c>
      <c r="C526" t="s">
        <v>93</v>
      </c>
      <c r="D526" s="40">
        <v>1232</v>
      </c>
    </row>
    <row r="527" spans="1:4" x14ac:dyDescent="0.25">
      <c r="A527">
        <v>21</v>
      </c>
      <c r="B527" s="5">
        <v>43255</v>
      </c>
      <c r="C527" t="s">
        <v>94</v>
      </c>
      <c r="D527" s="40">
        <v>702</v>
      </c>
    </row>
    <row r="528" spans="1:4" x14ac:dyDescent="0.25">
      <c r="A528">
        <v>990</v>
      </c>
      <c r="B528" s="5">
        <v>43433</v>
      </c>
      <c r="C528" t="s">
        <v>94</v>
      </c>
      <c r="D528" s="40">
        <v>1071</v>
      </c>
    </row>
    <row r="529" spans="1:4" x14ac:dyDescent="0.25">
      <c r="A529">
        <v>931</v>
      </c>
      <c r="B529" s="5">
        <v>43422</v>
      </c>
      <c r="C529" t="s">
        <v>94</v>
      </c>
      <c r="D529" s="40">
        <v>1559</v>
      </c>
    </row>
    <row r="530" spans="1:4" x14ac:dyDescent="0.25">
      <c r="A530">
        <v>890</v>
      </c>
      <c r="B530" s="5">
        <v>43416</v>
      </c>
      <c r="C530" t="s">
        <v>93</v>
      </c>
      <c r="D530" s="40">
        <v>1542</v>
      </c>
    </row>
    <row r="531" spans="1:4" x14ac:dyDescent="0.25">
      <c r="A531">
        <v>231</v>
      </c>
      <c r="B531" s="5">
        <v>43289</v>
      </c>
      <c r="C531" t="s">
        <v>94</v>
      </c>
      <c r="D531" s="40">
        <v>866</v>
      </c>
    </row>
    <row r="532" spans="1:4" x14ac:dyDescent="0.25">
      <c r="A532">
        <v>878</v>
      </c>
      <c r="B532" s="5">
        <v>43414</v>
      </c>
      <c r="C532" t="s">
        <v>93</v>
      </c>
      <c r="D532" s="40">
        <v>824</v>
      </c>
    </row>
    <row r="533" spans="1:4" x14ac:dyDescent="0.25">
      <c r="A533">
        <v>106</v>
      </c>
      <c r="B533" s="5">
        <v>43269</v>
      </c>
      <c r="C533" t="s">
        <v>94</v>
      </c>
      <c r="D533" s="40">
        <v>1871</v>
      </c>
    </row>
    <row r="534" spans="1:4" x14ac:dyDescent="0.25">
      <c r="A534">
        <v>448</v>
      </c>
      <c r="B534" s="5">
        <v>43329</v>
      </c>
      <c r="C534" t="s">
        <v>93</v>
      </c>
      <c r="D534" s="40">
        <v>891</v>
      </c>
    </row>
    <row r="535" spans="1:4" x14ac:dyDescent="0.25">
      <c r="A535">
        <v>884</v>
      </c>
      <c r="B535" s="5">
        <v>43415</v>
      </c>
      <c r="C535" t="s">
        <v>93</v>
      </c>
      <c r="D535" s="40">
        <v>1691</v>
      </c>
    </row>
    <row r="536" spans="1:4" x14ac:dyDescent="0.25">
      <c r="A536">
        <v>530</v>
      </c>
      <c r="B536" s="5">
        <v>43344</v>
      </c>
      <c r="C536" t="s">
        <v>92</v>
      </c>
      <c r="D536" s="40">
        <v>979</v>
      </c>
    </row>
    <row r="537" spans="1:4" x14ac:dyDescent="0.25">
      <c r="A537">
        <v>559</v>
      </c>
      <c r="B537" s="5">
        <v>43348</v>
      </c>
      <c r="C537" t="s">
        <v>93</v>
      </c>
      <c r="D537" s="40">
        <v>544</v>
      </c>
    </row>
    <row r="538" spans="1:4" x14ac:dyDescent="0.25">
      <c r="A538">
        <v>437</v>
      </c>
      <c r="B538" s="5">
        <v>43327</v>
      </c>
      <c r="C538" t="s">
        <v>94</v>
      </c>
      <c r="D538" s="40">
        <v>1236</v>
      </c>
    </row>
    <row r="539" spans="1:4" x14ac:dyDescent="0.25">
      <c r="A539">
        <v>259</v>
      </c>
      <c r="B539" s="5">
        <v>43295</v>
      </c>
      <c r="C539" t="s">
        <v>93</v>
      </c>
      <c r="D539" s="40">
        <v>755</v>
      </c>
    </row>
    <row r="540" spans="1:4" x14ac:dyDescent="0.25">
      <c r="A540">
        <v>303</v>
      </c>
      <c r="B540" s="5">
        <v>43301</v>
      </c>
      <c r="C540" t="s">
        <v>93</v>
      </c>
      <c r="D540" s="40">
        <v>991</v>
      </c>
    </row>
    <row r="541" spans="1:4" x14ac:dyDescent="0.25">
      <c r="A541">
        <v>486</v>
      </c>
      <c r="B541" s="5">
        <v>43334</v>
      </c>
      <c r="C541" t="s">
        <v>93</v>
      </c>
      <c r="D541" s="40">
        <v>870</v>
      </c>
    </row>
    <row r="542" spans="1:4" x14ac:dyDescent="0.25">
      <c r="A542">
        <v>613</v>
      </c>
      <c r="B542" s="5">
        <v>43360</v>
      </c>
      <c r="C542" t="s">
        <v>92</v>
      </c>
      <c r="D542" s="40">
        <v>530</v>
      </c>
    </row>
    <row r="543" spans="1:4" x14ac:dyDescent="0.25">
      <c r="A543">
        <v>489</v>
      </c>
      <c r="B543" s="5">
        <v>43335</v>
      </c>
      <c r="C543" t="s">
        <v>94</v>
      </c>
      <c r="D543" s="40">
        <v>1465</v>
      </c>
    </row>
    <row r="544" spans="1:4" x14ac:dyDescent="0.25">
      <c r="A544">
        <v>151</v>
      </c>
      <c r="B544" s="5">
        <v>43276</v>
      </c>
      <c r="C544" t="s">
        <v>93</v>
      </c>
      <c r="D544" s="40">
        <v>1979</v>
      </c>
    </row>
    <row r="545" spans="1:4" x14ac:dyDescent="0.25">
      <c r="A545">
        <v>439</v>
      </c>
      <c r="B545" s="5">
        <v>43327</v>
      </c>
      <c r="C545" t="s">
        <v>94</v>
      </c>
      <c r="D545" s="40">
        <v>1458</v>
      </c>
    </row>
    <row r="546" spans="1:4" x14ac:dyDescent="0.25">
      <c r="A546">
        <v>246</v>
      </c>
      <c r="B546" s="5">
        <v>43292</v>
      </c>
      <c r="C546" t="s">
        <v>94</v>
      </c>
      <c r="D546" s="40">
        <v>651</v>
      </c>
    </row>
    <row r="547" spans="1:4" x14ac:dyDescent="0.25">
      <c r="A547">
        <v>868</v>
      </c>
      <c r="B547" s="5">
        <v>43412</v>
      </c>
      <c r="C547" t="s">
        <v>94</v>
      </c>
      <c r="D547" s="40">
        <v>515</v>
      </c>
    </row>
    <row r="548" spans="1:4" x14ac:dyDescent="0.25">
      <c r="A548">
        <v>691</v>
      </c>
      <c r="B548" s="5">
        <v>43378</v>
      </c>
      <c r="C548" t="s">
        <v>92</v>
      </c>
      <c r="D548" s="40">
        <v>634</v>
      </c>
    </row>
    <row r="549" spans="1:4" x14ac:dyDescent="0.25">
      <c r="A549">
        <v>608</v>
      </c>
      <c r="B549" s="5">
        <v>43358</v>
      </c>
      <c r="C549" t="s">
        <v>93</v>
      </c>
      <c r="D549" s="40">
        <v>1116</v>
      </c>
    </row>
    <row r="550" spans="1:4" x14ac:dyDescent="0.25">
      <c r="A550">
        <v>75</v>
      </c>
      <c r="B550" s="5">
        <v>43264</v>
      </c>
      <c r="C550" t="s">
        <v>92</v>
      </c>
      <c r="D550" s="40">
        <v>1458</v>
      </c>
    </row>
    <row r="551" spans="1:4" x14ac:dyDescent="0.25">
      <c r="A551">
        <v>459</v>
      </c>
      <c r="B551" s="5">
        <v>43331</v>
      </c>
      <c r="C551" t="s">
        <v>94</v>
      </c>
      <c r="D551" s="40">
        <v>1665</v>
      </c>
    </row>
    <row r="552" spans="1:4" x14ac:dyDescent="0.25">
      <c r="A552">
        <v>824</v>
      </c>
      <c r="B552" s="5">
        <v>43403</v>
      </c>
      <c r="C552" t="s">
        <v>92</v>
      </c>
      <c r="D552" s="40">
        <v>1523</v>
      </c>
    </row>
    <row r="553" spans="1:4" x14ac:dyDescent="0.25">
      <c r="A553">
        <v>988</v>
      </c>
      <c r="B553" s="5">
        <v>43433</v>
      </c>
      <c r="C553" t="s">
        <v>92</v>
      </c>
      <c r="D553" s="40">
        <v>737</v>
      </c>
    </row>
    <row r="554" spans="1:4" x14ac:dyDescent="0.25">
      <c r="A554">
        <v>407</v>
      </c>
      <c r="B554" s="5">
        <v>43322</v>
      </c>
      <c r="C554" t="s">
        <v>93</v>
      </c>
      <c r="D554" s="40">
        <v>1815</v>
      </c>
    </row>
    <row r="555" spans="1:4" x14ac:dyDescent="0.25">
      <c r="A555">
        <v>571</v>
      </c>
      <c r="B555" s="5">
        <v>43350</v>
      </c>
      <c r="C555" t="s">
        <v>93</v>
      </c>
      <c r="D555" s="40">
        <v>1260</v>
      </c>
    </row>
    <row r="556" spans="1:4" x14ac:dyDescent="0.25">
      <c r="A556">
        <v>762</v>
      </c>
      <c r="B556" s="5">
        <v>43390</v>
      </c>
      <c r="C556" t="s">
        <v>92</v>
      </c>
      <c r="D556" s="40">
        <v>1722</v>
      </c>
    </row>
    <row r="557" spans="1:4" x14ac:dyDescent="0.25">
      <c r="A557">
        <v>327</v>
      </c>
      <c r="B557" s="5">
        <v>43305</v>
      </c>
      <c r="C557" t="s">
        <v>94</v>
      </c>
      <c r="D557" s="40">
        <v>851</v>
      </c>
    </row>
    <row r="558" spans="1:4" x14ac:dyDescent="0.25">
      <c r="A558">
        <v>512</v>
      </c>
      <c r="B558" s="5">
        <v>43340</v>
      </c>
      <c r="C558" t="s">
        <v>92</v>
      </c>
      <c r="D558" s="40">
        <v>1068</v>
      </c>
    </row>
    <row r="559" spans="1:4" x14ac:dyDescent="0.25">
      <c r="A559">
        <v>362</v>
      </c>
      <c r="B559" s="5">
        <v>43312</v>
      </c>
      <c r="C559" t="s">
        <v>93</v>
      </c>
      <c r="D559" s="40">
        <v>1105</v>
      </c>
    </row>
    <row r="560" spans="1:4" x14ac:dyDescent="0.25">
      <c r="A560">
        <v>808</v>
      </c>
      <c r="B560" s="5">
        <v>43400</v>
      </c>
      <c r="C560" t="s">
        <v>92</v>
      </c>
      <c r="D560" s="40">
        <v>1124</v>
      </c>
    </row>
    <row r="561" spans="1:4" x14ac:dyDescent="0.25">
      <c r="A561">
        <v>195</v>
      </c>
      <c r="B561" s="5">
        <v>43283</v>
      </c>
      <c r="C561" t="s">
        <v>92</v>
      </c>
      <c r="D561" s="40">
        <v>1421</v>
      </c>
    </row>
    <row r="562" spans="1:4" x14ac:dyDescent="0.25">
      <c r="A562">
        <v>612</v>
      </c>
      <c r="B562" s="5">
        <v>43360</v>
      </c>
      <c r="C562" t="s">
        <v>92</v>
      </c>
      <c r="D562" s="40">
        <v>801</v>
      </c>
    </row>
    <row r="563" spans="1:4" x14ac:dyDescent="0.25">
      <c r="A563">
        <v>556</v>
      </c>
      <c r="B563" s="5">
        <v>43348</v>
      </c>
      <c r="C563" t="s">
        <v>94</v>
      </c>
      <c r="D563" s="40">
        <v>1441</v>
      </c>
    </row>
    <row r="564" spans="1:4" x14ac:dyDescent="0.25">
      <c r="A564">
        <v>749</v>
      </c>
      <c r="B564" s="5">
        <v>43388</v>
      </c>
      <c r="C564" t="s">
        <v>94</v>
      </c>
      <c r="D564" s="40">
        <v>1938</v>
      </c>
    </row>
    <row r="565" spans="1:4" x14ac:dyDescent="0.25">
      <c r="A565">
        <v>505</v>
      </c>
      <c r="B565" s="5">
        <v>43339</v>
      </c>
      <c r="C565" t="s">
        <v>92</v>
      </c>
      <c r="D565" s="40">
        <v>1248</v>
      </c>
    </row>
    <row r="566" spans="1:4" x14ac:dyDescent="0.25">
      <c r="A566">
        <v>575</v>
      </c>
      <c r="B566" s="5">
        <v>43351</v>
      </c>
      <c r="C566" t="s">
        <v>94</v>
      </c>
      <c r="D566" s="40">
        <v>937</v>
      </c>
    </row>
    <row r="567" spans="1:4" x14ac:dyDescent="0.25">
      <c r="A567">
        <v>88</v>
      </c>
      <c r="B567" s="5">
        <v>43266</v>
      </c>
      <c r="C567" t="s">
        <v>93</v>
      </c>
      <c r="D567" s="40">
        <v>712</v>
      </c>
    </row>
    <row r="568" spans="1:4" x14ac:dyDescent="0.25">
      <c r="A568">
        <v>272</v>
      </c>
      <c r="B568" s="5">
        <v>43296</v>
      </c>
      <c r="C568" t="s">
        <v>93</v>
      </c>
      <c r="D568" s="40">
        <v>1180</v>
      </c>
    </row>
    <row r="569" spans="1:4" x14ac:dyDescent="0.25">
      <c r="A569">
        <v>641</v>
      </c>
      <c r="B569" s="5">
        <v>43366</v>
      </c>
      <c r="C569" t="s">
        <v>92</v>
      </c>
      <c r="D569" s="40">
        <v>1513</v>
      </c>
    </row>
    <row r="570" spans="1:4" x14ac:dyDescent="0.25">
      <c r="A570">
        <v>910</v>
      </c>
      <c r="B570" s="5">
        <v>43419</v>
      </c>
      <c r="C570" t="s">
        <v>92</v>
      </c>
      <c r="D570" s="40">
        <v>1214</v>
      </c>
    </row>
    <row r="571" spans="1:4" x14ac:dyDescent="0.25">
      <c r="A571">
        <v>856</v>
      </c>
      <c r="B571" s="5">
        <v>43410</v>
      </c>
      <c r="C571" t="s">
        <v>92</v>
      </c>
      <c r="D571" s="40">
        <v>998</v>
      </c>
    </row>
    <row r="572" spans="1:4" x14ac:dyDescent="0.25">
      <c r="A572">
        <v>455</v>
      </c>
      <c r="B572" s="5">
        <v>43330</v>
      </c>
      <c r="C572" t="s">
        <v>93</v>
      </c>
      <c r="D572" s="40">
        <v>1038</v>
      </c>
    </row>
    <row r="573" spans="1:4" x14ac:dyDescent="0.25">
      <c r="A573">
        <v>26</v>
      </c>
      <c r="B573" s="5">
        <v>43255</v>
      </c>
      <c r="C573" t="s">
        <v>92</v>
      </c>
      <c r="D573" s="40">
        <v>827</v>
      </c>
    </row>
    <row r="574" spans="1:4" x14ac:dyDescent="0.25">
      <c r="A574">
        <v>371</v>
      </c>
      <c r="B574" s="5">
        <v>43313</v>
      </c>
      <c r="C574" t="s">
        <v>92</v>
      </c>
      <c r="D574" s="40">
        <v>745</v>
      </c>
    </row>
    <row r="575" spans="1:4" x14ac:dyDescent="0.25">
      <c r="A575">
        <v>797</v>
      </c>
      <c r="B575" s="5">
        <v>43397</v>
      </c>
      <c r="C575" t="s">
        <v>93</v>
      </c>
      <c r="D575" s="40">
        <v>1829</v>
      </c>
    </row>
    <row r="576" spans="1:4" x14ac:dyDescent="0.25">
      <c r="A576">
        <v>158</v>
      </c>
      <c r="B576" s="5">
        <v>43277</v>
      </c>
      <c r="C576" t="s">
        <v>92</v>
      </c>
      <c r="D576" s="40">
        <v>848</v>
      </c>
    </row>
    <row r="577" spans="1:4" x14ac:dyDescent="0.25">
      <c r="A577">
        <v>335</v>
      </c>
      <c r="B577" s="5">
        <v>43307</v>
      </c>
      <c r="C577" t="s">
        <v>93</v>
      </c>
      <c r="D577" s="40">
        <v>1463</v>
      </c>
    </row>
    <row r="578" spans="1:4" x14ac:dyDescent="0.25">
      <c r="A578">
        <v>398</v>
      </c>
      <c r="B578" s="5">
        <v>43320</v>
      </c>
      <c r="C578" t="s">
        <v>94</v>
      </c>
      <c r="D578" s="40">
        <v>1246</v>
      </c>
    </row>
    <row r="579" spans="1:4" x14ac:dyDescent="0.25">
      <c r="A579">
        <v>861</v>
      </c>
      <c r="B579" s="5">
        <v>43411</v>
      </c>
      <c r="C579" t="s">
        <v>92</v>
      </c>
      <c r="D579" s="40">
        <v>1844</v>
      </c>
    </row>
    <row r="580" spans="1:4" x14ac:dyDescent="0.25">
      <c r="A580">
        <v>673</v>
      </c>
      <c r="B580" s="5">
        <v>43372</v>
      </c>
      <c r="C580" t="s">
        <v>94</v>
      </c>
      <c r="D580" s="40">
        <v>734</v>
      </c>
    </row>
    <row r="581" spans="1:4" x14ac:dyDescent="0.25">
      <c r="A581">
        <v>43</v>
      </c>
      <c r="B581" s="5">
        <v>43258</v>
      </c>
      <c r="C581" t="s">
        <v>93</v>
      </c>
      <c r="D581" s="40">
        <v>1381</v>
      </c>
    </row>
    <row r="582" spans="1:4" x14ac:dyDescent="0.25">
      <c r="A582">
        <v>767</v>
      </c>
      <c r="B582" s="5">
        <v>43392</v>
      </c>
      <c r="C582" t="s">
        <v>94</v>
      </c>
      <c r="D582" s="40">
        <v>1072</v>
      </c>
    </row>
    <row r="583" spans="1:4" x14ac:dyDescent="0.25">
      <c r="A583">
        <v>721</v>
      </c>
      <c r="B583" s="5">
        <v>43384</v>
      </c>
      <c r="C583" t="s">
        <v>93</v>
      </c>
      <c r="D583" s="40">
        <v>790</v>
      </c>
    </row>
    <row r="584" spans="1:4" x14ac:dyDescent="0.25">
      <c r="A584">
        <v>844</v>
      </c>
      <c r="B584" s="5">
        <v>43408</v>
      </c>
      <c r="C584" t="s">
        <v>94</v>
      </c>
      <c r="D584" s="40">
        <v>1067</v>
      </c>
    </row>
    <row r="585" spans="1:4" x14ac:dyDescent="0.25">
      <c r="A585">
        <v>19</v>
      </c>
      <c r="B585" s="5">
        <v>43254</v>
      </c>
      <c r="C585" t="s">
        <v>93</v>
      </c>
      <c r="D585" s="40">
        <v>1111</v>
      </c>
    </row>
    <row r="586" spans="1:4" x14ac:dyDescent="0.25">
      <c r="A586">
        <v>445</v>
      </c>
      <c r="B586" s="5">
        <v>43328</v>
      </c>
      <c r="C586" t="s">
        <v>92</v>
      </c>
      <c r="D586" s="40">
        <v>1113</v>
      </c>
    </row>
    <row r="587" spans="1:4" x14ac:dyDescent="0.25">
      <c r="A587">
        <v>672</v>
      </c>
      <c r="B587" s="5">
        <v>43372</v>
      </c>
      <c r="C587" t="s">
        <v>93</v>
      </c>
      <c r="D587" s="40">
        <v>1604</v>
      </c>
    </row>
    <row r="588" spans="1:4" x14ac:dyDescent="0.25">
      <c r="A588">
        <v>958</v>
      </c>
      <c r="B588" s="5">
        <v>43427</v>
      </c>
      <c r="C588" t="s">
        <v>93</v>
      </c>
      <c r="D588" s="40">
        <v>649</v>
      </c>
    </row>
    <row r="589" spans="1:4" x14ac:dyDescent="0.25">
      <c r="A589">
        <v>873</v>
      </c>
      <c r="B589" s="5">
        <v>43414</v>
      </c>
      <c r="C589" t="s">
        <v>94</v>
      </c>
      <c r="D589" s="40">
        <v>1222</v>
      </c>
    </row>
    <row r="590" spans="1:4" x14ac:dyDescent="0.25">
      <c r="A590">
        <v>54</v>
      </c>
      <c r="B590" s="5">
        <v>43260</v>
      </c>
      <c r="C590" t="s">
        <v>92</v>
      </c>
      <c r="D590" s="40">
        <v>1019</v>
      </c>
    </row>
    <row r="591" spans="1:4" x14ac:dyDescent="0.25">
      <c r="A591">
        <v>60</v>
      </c>
      <c r="B591" s="5">
        <v>43261</v>
      </c>
      <c r="C591" t="s">
        <v>92</v>
      </c>
      <c r="D591" s="40">
        <v>1414</v>
      </c>
    </row>
    <row r="592" spans="1:4" x14ac:dyDescent="0.25">
      <c r="A592">
        <v>343</v>
      </c>
      <c r="B592" s="5">
        <v>43309</v>
      </c>
      <c r="C592" t="s">
        <v>94</v>
      </c>
      <c r="D592" s="40">
        <v>1026</v>
      </c>
    </row>
    <row r="593" spans="1:4" x14ac:dyDescent="0.25">
      <c r="A593">
        <v>198</v>
      </c>
      <c r="B593" s="5">
        <v>43284</v>
      </c>
      <c r="C593" t="s">
        <v>94</v>
      </c>
      <c r="D593" s="40">
        <v>1700</v>
      </c>
    </row>
    <row r="594" spans="1:4" x14ac:dyDescent="0.25">
      <c r="A594">
        <v>358</v>
      </c>
      <c r="B594" s="5">
        <v>43311</v>
      </c>
      <c r="C594" t="s">
        <v>94</v>
      </c>
      <c r="D594" s="40">
        <v>1801</v>
      </c>
    </row>
    <row r="595" spans="1:4" x14ac:dyDescent="0.25">
      <c r="A595">
        <v>117</v>
      </c>
      <c r="B595" s="5">
        <v>43270</v>
      </c>
      <c r="C595" t="s">
        <v>94</v>
      </c>
      <c r="D595" s="40">
        <v>1543</v>
      </c>
    </row>
    <row r="596" spans="1:4" x14ac:dyDescent="0.25">
      <c r="A596">
        <v>165</v>
      </c>
      <c r="B596" s="5">
        <v>43278</v>
      </c>
      <c r="C596" t="s">
        <v>92</v>
      </c>
      <c r="D596" s="40">
        <v>773</v>
      </c>
    </row>
    <row r="597" spans="1:4" x14ac:dyDescent="0.25">
      <c r="A597">
        <v>871</v>
      </c>
      <c r="B597" s="5">
        <v>43413</v>
      </c>
      <c r="C597" t="s">
        <v>92</v>
      </c>
      <c r="D597" s="40">
        <v>820</v>
      </c>
    </row>
    <row r="598" spans="1:4" x14ac:dyDescent="0.25">
      <c r="A598">
        <v>5</v>
      </c>
      <c r="B598" s="5">
        <v>43253</v>
      </c>
      <c r="C598" t="s">
        <v>93</v>
      </c>
      <c r="D598" s="40">
        <v>1585</v>
      </c>
    </row>
    <row r="599" spans="1:4" x14ac:dyDescent="0.25">
      <c r="A599">
        <v>366</v>
      </c>
      <c r="B599" s="5">
        <v>43313</v>
      </c>
      <c r="C599" t="s">
        <v>94</v>
      </c>
      <c r="D599" s="40">
        <v>1742</v>
      </c>
    </row>
    <row r="600" spans="1:4" x14ac:dyDescent="0.25">
      <c r="A600">
        <v>495</v>
      </c>
      <c r="B600" s="5">
        <v>43338</v>
      </c>
      <c r="C600" t="s">
        <v>94</v>
      </c>
      <c r="D600" s="40">
        <v>1343</v>
      </c>
    </row>
    <row r="601" spans="1:4" x14ac:dyDescent="0.25">
      <c r="A601">
        <v>658</v>
      </c>
      <c r="B601" s="5">
        <v>43368</v>
      </c>
      <c r="C601" t="s">
        <v>93</v>
      </c>
      <c r="D601" s="40">
        <v>916</v>
      </c>
    </row>
    <row r="602" spans="1:4" x14ac:dyDescent="0.25">
      <c r="A602">
        <v>56</v>
      </c>
      <c r="B602" s="5">
        <v>43260</v>
      </c>
      <c r="C602" t="s">
        <v>93</v>
      </c>
      <c r="D602" s="40">
        <v>1303</v>
      </c>
    </row>
    <row r="603" spans="1:4" x14ac:dyDescent="0.25">
      <c r="A603">
        <v>493</v>
      </c>
      <c r="B603" s="5">
        <v>43336</v>
      </c>
      <c r="C603" t="s">
        <v>92</v>
      </c>
      <c r="D603" s="40">
        <v>746</v>
      </c>
    </row>
    <row r="604" spans="1:4" x14ac:dyDescent="0.25">
      <c r="A604">
        <v>330</v>
      </c>
      <c r="B604" s="5">
        <v>43306</v>
      </c>
      <c r="C604" t="s">
        <v>94</v>
      </c>
      <c r="D604" s="40">
        <v>899</v>
      </c>
    </row>
    <row r="605" spans="1:4" x14ac:dyDescent="0.25">
      <c r="A605">
        <v>187</v>
      </c>
      <c r="B605" s="5">
        <v>43283</v>
      </c>
      <c r="C605" t="s">
        <v>92</v>
      </c>
      <c r="D605" s="40">
        <v>921</v>
      </c>
    </row>
    <row r="606" spans="1:4" x14ac:dyDescent="0.25">
      <c r="A606">
        <v>249</v>
      </c>
      <c r="B606" s="5">
        <v>43293</v>
      </c>
      <c r="C606" t="s">
        <v>92</v>
      </c>
      <c r="D606" s="40">
        <v>1363</v>
      </c>
    </row>
    <row r="607" spans="1:4" x14ac:dyDescent="0.25">
      <c r="A607">
        <v>313</v>
      </c>
      <c r="B607" s="5">
        <v>43303</v>
      </c>
      <c r="C607" t="s">
        <v>93</v>
      </c>
      <c r="D607" s="40">
        <v>1373</v>
      </c>
    </row>
    <row r="608" spans="1:4" x14ac:dyDescent="0.25">
      <c r="A608">
        <v>405</v>
      </c>
      <c r="B608" s="5">
        <v>43321</v>
      </c>
      <c r="C608" t="s">
        <v>92</v>
      </c>
      <c r="D608" s="40">
        <v>1386</v>
      </c>
    </row>
    <row r="609" spans="1:4" x14ac:dyDescent="0.25">
      <c r="A609">
        <v>107</v>
      </c>
      <c r="B609" s="5">
        <v>43269</v>
      </c>
      <c r="C609" t="s">
        <v>94</v>
      </c>
      <c r="D609" s="40">
        <v>1922</v>
      </c>
    </row>
    <row r="610" spans="1:4" x14ac:dyDescent="0.25">
      <c r="A610">
        <v>102</v>
      </c>
      <c r="B610" s="5">
        <v>43268</v>
      </c>
      <c r="C610" t="s">
        <v>94</v>
      </c>
      <c r="D610" s="40">
        <v>985</v>
      </c>
    </row>
    <row r="611" spans="1:4" x14ac:dyDescent="0.25">
      <c r="A611">
        <v>374</v>
      </c>
      <c r="B611" s="5">
        <v>43314</v>
      </c>
      <c r="C611" t="s">
        <v>92</v>
      </c>
      <c r="D611" s="40">
        <v>1022</v>
      </c>
    </row>
    <row r="612" spans="1:4" x14ac:dyDescent="0.25">
      <c r="A612">
        <v>625</v>
      </c>
      <c r="B612" s="5">
        <v>43364</v>
      </c>
      <c r="C612" t="s">
        <v>94</v>
      </c>
      <c r="D612" s="40">
        <v>1529</v>
      </c>
    </row>
    <row r="613" spans="1:4" x14ac:dyDescent="0.25">
      <c r="A613">
        <v>159</v>
      </c>
      <c r="B613" s="5">
        <v>43277</v>
      </c>
      <c r="C613" t="s">
        <v>93</v>
      </c>
      <c r="D613" s="40">
        <v>1533</v>
      </c>
    </row>
    <row r="614" spans="1:4" x14ac:dyDescent="0.25">
      <c r="A614">
        <v>760</v>
      </c>
      <c r="B614" s="5">
        <v>43390</v>
      </c>
      <c r="C614" t="s">
        <v>92</v>
      </c>
      <c r="D614" s="40">
        <v>1014</v>
      </c>
    </row>
    <row r="615" spans="1:4" x14ac:dyDescent="0.25">
      <c r="A615">
        <v>727</v>
      </c>
      <c r="B615" s="5">
        <v>43385</v>
      </c>
      <c r="C615" t="s">
        <v>94</v>
      </c>
      <c r="D615" s="40">
        <v>683</v>
      </c>
    </row>
    <row r="616" spans="1:4" x14ac:dyDescent="0.25">
      <c r="A616">
        <v>464</v>
      </c>
      <c r="B616" s="5">
        <v>43332</v>
      </c>
      <c r="C616" t="s">
        <v>92</v>
      </c>
      <c r="D616" s="40">
        <v>1188</v>
      </c>
    </row>
    <row r="617" spans="1:4" x14ac:dyDescent="0.25">
      <c r="A617">
        <v>453</v>
      </c>
      <c r="B617" s="5">
        <v>43330</v>
      </c>
      <c r="C617" t="s">
        <v>93</v>
      </c>
      <c r="D617" s="40">
        <v>898</v>
      </c>
    </row>
    <row r="618" spans="1:4" x14ac:dyDescent="0.25">
      <c r="A618">
        <v>889</v>
      </c>
      <c r="B618" s="5">
        <v>43416</v>
      </c>
      <c r="C618" t="s">
        <v>92</v>
      </c>
      <c r="D618" s="40">
        <v>883</v>
      </c>
    </row>
    <row r="619" spans="1:4" x14ac:dyDescent="0.25">
      <c r="A619">
        <v>627</v>
      </c>
      <c r="B619" s="5">
        <v>43364</v>
      </c>
      <c r="C619" t="s">
        <v>94</v>
      </c>
      <c r="D619" s="40">
        <v>1517</v>
      </c>
    </row>
    <row r="620" spans="1:4" x14ac:dyDescent="0.25">
      <c r="A620">
        <v>945</v>
      </c>
      <c r="B620" s="5">
        <v>43425</v>
      </c>
      <c r="C620" t="s">
        <v>93</v>
      </c>
      <c r="D620" s="40">
        <v>966</v>
      </c>
    </row>
    <row r="621" spans="1:4" x14ac:dyDescent="0.25">
      <c r="A621">
        <v>470</v>
      </c>
      <c r="B621" s="5">
        <v>43332</v>
      </c>
      <c r="C621" t="s">
        <v>94</v>
      </c>
      <c r="D621" s="40">
        <v>1975</v>
      </c>
    </row>
    <row r="622" spans="1:4" x14ac:dyDescent="0.25">
      <c r="A622">
        <v>269</v>
      </c>
      <c r="B622" s="5">
        <v>43296</v>
      </c>
      <c r="C622" t="s">
        <v>93</v>
      </c>
      <c r="D622" s="40">
        <v>1136</v>
      </c>
    </row>
    <row r="623" spans="1:4" x14ac:dyDescent="0.25">
      <c r="A623">
        <v>296</v>
      </c>
      <c r="B623" s="5">
        <v>43300</v>
      </c>
      <c r="C623" t="s">
        <v>93</v>
      </c>
      <c r="D623" s="40">
        <v>1695</v>
      </c>
    </row>
    <row r="624" spans="1:4" x14ac:dyDescent="0.25">
      <c r="A624">
        <v>703</v>
      </c>
      <c r="B624" s="5">
        <v>43381</v>
      </c>
      <c r="C624" t="s">
        <v>94</v>
      </c>
      <c r="D624" s="40">
        <v>1405</v>
      </c>
    </row>
    <row r="625" spans="1:4" x14ac:dyDescent="0.25">
      <c r="A625">
        <v>834</v>
      </c>
      <c r="B625" s="5">
        <v>43407</v>
      </c>
      <c r="C625" t="s">
        <v>92</v>
      </c>
      <c r="D625" s="40">
        <v>1552</v>
      </c>
    </row>
    <row r="626" spans="1:4" x14ac:dyDescent="0.25">
      <c r="A626">
        <v>955</v>
      </c>
      <c r="B626" s="5">
        <v>43427</v>
      </c>
      <c r="C626" t="s">
        <v>92</v>
      </c>
      <c r="D626" s="40">
        <v>1132</v>
      </c>
    </row>
    <row r="627" spans="1:4" x14ac:dyDescent="0.25">
      <c r="A627">
        <v>13</v>
      </c>
      <c r="B627" s="5">
        <v>43254</v>
      </c>
      <c r="C627" t="s">
        <v>94</v>
      </c>
      <c r="D627" s="40">
        <v>534</v>
      </c>
    </row>
    <row r="628" spans="1:4" x14ac:dyDescent="0.25">
      <c r="A628">
        <v>632</v>
      </c>
      <c r="B628" s="5">
        <v>43365</v>
      </c>
      <c r="C628" t="s">
        <v>94</v>
      </c>
      <c r="D628" s="40">
        <v>1798</v>
      </c>
    </row>
    <row r="629" spans="1:4" x14ac:dyDescent="0.25">
      <c r="A629">
        <v>321</v>
      </c>
      <c r="B629" s="5">
        <v>43304</v>
      </c>
      <c r="C629" t="s">
        <v>94</v>
      </c>
      <c r="D629" s="40">
        <v>778</v>
      </c>
    </row>
    <row r="630" spans="1:4" x14ac:dyDescent="0.25">
      <c r="A630">
        <v>542</v>
      </c>
      <c r="B630" s="5">
        <v>43346</v>
      </c>
      <c r="C630" t="s">
        <v>94</v>
      </c>
      <c r="D630" s="40">
        <v>823</v>
      </c>
    </row>
    <row r="631" spans="1:4" x14ac:dyDescent="0.25">
      <c r="A631">
        <v>386</v>
      </c>
      <c r="B631" s="5">
        <v>43317</v>
      </c>
      <c r="C631" t="s">
        <v>94</v>
      </c>
      <c r="D631" s="40">
        <v>1513</v>
      </c>
    </row>
    <row r="632" spans="1:4" x14ac:dyDescent="0.25">
      <c r="A632">
        <v>510</v>
      </c>
      <c r="B632" s="5">
        <v>43339</v>
      </c>
      <c r="C632" t="s">
        <v>93</v>
      </c>
      <c r="D632" s="40">
        <v>1648</v>
      </c>
    </row>
    <row r="633" spans="1:4" x14ac:dyDescent="0.25">
      <c r="A633">
        <v>528</v>
      </c>
      <c r="B633" s="5">
        <v>43344</v>
      </c>
      <c r="C633" t="s">
        <v>93</v>
      </c>
      <c r="D633" s="40">
        <v>1635</v>
      </c>
    </row>
    <row r="634" spans="1:4" x14ac:dyDescent="0.25">
      <c r="A634">
        <v>182</v>
      </c>
      <c r="B634" s="5">
        <v>43282</v>
      </c>
      <c r="C634" t="s">
        <v>92</v>
      </c>
      <c r="D634" s="40">
        <v>1257</v>
      </c>
    </row>
    <row r="635" spans="1:4" x14ac:dyDescent="0.25">
      <c r="A635">
        <v>10</v>
      </c>
      <c r="B635" s="5">
        <v>43253</v>
      </c>
      <c r="C635" t="s">
        <v>92</v>
      </c>
      <c r="D635" s="40">
        <v>819</v>
      </c>
    </row>
    <row r="636" spans="1:4" x14ac:dyDescent="0.25">
      <c r="A636">
        <v>952</v>
      </c>
      <c r="B636" s="5">
        <v>43426</v>
      </c>
      <c r="C636" t="s">
        <v>92</v>
      </c>
      <c r="D636" s="40">
        <v>1190</v>
      </c>
    </row>
    <row r="637" spans="1:4" x14ac:dyDescent="0.25">
      <c r="A637">
        <v>359</v>
      </c>
      <c r="B637" s="5">
        <v>43311</v>
      </c>
      <c r="C637" t="s">
        <v>94</v>
      </c>
      <c r="D637" s="40">
        <v>773</v>
      </c>
    </row>
    <row r="638" spans="1:4" x14ac:dyDescent="0.25">
      <c r="A638">
        <v>522</v>
      </c>
      <c r="B638" s="5">
        <v>43343</v>
      </c>
      <c r="C638" t="s">
        <v>93</v>
      </c>
      <c r="D638" s="40">
        <v>1332</v>
      </c>
    </row>
    <row r="639" spans="1:4" x14ac:dyDescent="0.25">
      <c r="A639">
        <v>599</v>
      </c>
      <c r="B639" s="5">
        <v>43356</v>
      </c>
      <c r="C639" t="s">
        <v>92</v>
      </c>
      <c r="D639" s="40">
        <v>1472</v>
      </c>
    </row>
    <row r="640" spans="1:4" x14ac:dyDescent="0.25">
      <c r="A640">
        <v>616</v>
      </c>
      <c r="B640" s="5">
        <v>43361</v>
      </c>
      <c r="C640" t="s">
        <v>93</v>
      </c>
      <c r="D640" s="40">
        <v>957</v>
      </c>
    </row>
    <row r="641" spans="1:4" x14ac:dyDescent="0.25">
      <c r="A641">
        <v>812</v>
      </c>
      <c r="B641" s="5">
        <v>43401</v>
      </c>
      <c r="C641" t="s">
        <v>94</v>
      </c>
      <c r="D641" s="40">
        <v>1592</v>
      </c>
    </row>
    <row r="642" spans="1:4" x14ac:dyDescent="0.25">
      <c r="A642">
        <v>939</v>
      </c>
      <c r="B642" s="5">
        <v>43423</v>
      </c>
      <c r="C642" t="s">
        <v>93</v>
      </c>
      <c r="D642" s="40">
        <v>948</v>
      </c>
    </row>
    <row r="643" spans="1:4" x14ac:dyDescent="0.25">
      <c r="A643">
        <v>462</v>
      </c>
      <c r="B643" s="5">
        <v>43331</v>
      </c>
      <c r="C643" t="s">
        <v>93</v>
      </c>
      <c r="D643" s="40">
        <v>712</v>
      </c>
    </row>
    <row r="644" spans="1:4" x14ac:dyDescent="0.25">
      <c r="A644">
        <v>948</v>
      </c>
      <c r="B644" s="5">
        <v>43426</v>
      </c>
      <c r="C644" t="s">
        <v>92</v>
      </c>
      <c r="D644" s="40">
        <v>776</v>
      </c>
    </row>
    <row r="645" spans="1:4" x14ac:dyDescent="0.25">
      <c r="A645">
        <v>539</v>
      </c>
      <c r="B645" s="5">
        <v>43345</v>
      </c>
      <c r="C645" t="s">
        <v>93</v>
      </c>
      <c r="D645" s="40">
        <v>1134</v>
      </c>
    </row>
    <row r="646" spans="1:4" x14ac:dyDescent="0.25">
      <c r="A646">
        <v>312</v>
      </c>
      <c r="B646" s="5">
        <v>43303</v>
      </c>
      <c r="C646" t="s">
        <v>93</v>
      </c>
      <c r="D646" s="40">
        <v>970</v>
      </c>
    </row>
    <row r="647" spans="1:4" x14ac:dyDescent="0.25">
      <c r="A647">
        <v>971</v>
      </c>
      <c r="B647" s="5">
        <v>43430</v>
      </c>
      <c r="C647" t="s">
        <v>94</v>
      </c>
      <c r="D647" s="40">
        <v>820</v>
      </c>
    </row>
    <row r="648" spans="1:4" x14ac:dyDescent="0.25">
      <c r="A648">
        <v>735</v>
      </c>
      <c r="B648" s="5">
        <v>43386</v>
      </c>
      <c r="C648" t="s">
        <v>94</v>
      </c>
      <c r="D648" s="40">
        <v>765</v>
      </c>
    </row>
    <row r="649" spans="1:4" x14ac:dyDescent="0.25">
      <c r="A649">
        <v>793</v>
      </c>
      <c r="B649" s="5">
        <v>43396</v>
      </c>
      <c r="C649" t="s">
        <v>92</v>
      </c>
      <c r="D649" s="40">
        <v>1999</v>
      </c>
    </row>
    <row r="650" spans="1:4" x14ac:dyDescent="0.25">
      <c r="A650">
        <v>328</v>
      </c>
      <c r="B650" s="5">
        <v>43305</v>
      </c>
      <c r="C650" t="s">
        <v>94</v>
      </c>
      <c r="D650" s="40">
        <v>1050</v>
      </c>
    </row>
    <row r="651" spans="1:4" x14ac:dyDescent="0.25">
      <c r="A651">
        <v>46</v>
      </c>
      <c r="B651" s="5">
        <v>43258</v>
      </c>
      <c r="C651" t="s">
        <v>94</v>
      </c>
      <c r="D651" s="40">
        <v>1342</v>
      </c>
    </row>
    <row r="652" spans="1:4" x14ac:dyDescent="0.25">
      <c r="A652">
        <v>352</v>
      </c>
      <c r="B652" s="5">
        <v>43311</v>
      </c>
      <c r="C652" t="s">
        <v>93</v>
      </c>
      <c r="D652" s="40">
        <v>1855</v>
      </c>
    </row>
    <row r="653" spans="1:4" x14ac:dyDescent="0.25">
      <c r="A653">
        <v>234</v>
      </c>
      <c r="B653" s="5">
        <v>43291</v>
      </c>
      <c r="C653" t="s">
        <v>94</v>
      </c>
      <c r="D653" s="40">
        <v>1949</v>
      </c>
    </row>
    <row r="654" spans="1:4" x14ac:dyDescent="0.25">
      <c r="A654">
        <v>295</v>
      </c>
      <c r="B654" s="5">
        <v>43300</v>
      </c>
      <c r="C654" t="s">
        <v>94</v>
      </c>
      <c r="D654" s="40">
        <v>1747</v>
      </c>
    </row>
    <row r="655" spans="1:4" x14ac:dyDescent="0.25">
      <c r="A655">
        <v>502</v>
      </c>
      <c r="B655" s="5">
        <v>43339</v>
      </c>
      <c r="C655" t="s">
        <v>94</v>
      </c>
      <c r="D655" s="40">
        <v>732</v>
      </c>
    </row>
    <row r="656" spans="1:4" x14ac:dyDescent="0.25">
      <c r="A656">
        <v>425</v>
      </c>
      <c r="B656" s="5">
        <v>43324</v>
      </c>
      <c r="C656" t="s">
        <v>92</v>
      </c>
      <c r="D656" s="40">
        <v>684</v>
      </c>
    </row>
    <row r="657" spans="1:4" x14ac:dyDescent="0.25">
      <c r="A657">
        <v>220</v>
      </c>
      <c r="B657" s="5">
        <v>43288</v>
      </c>
      <c r="C657" t="s">
        <v>93</v>
      </c>
      <c r="D657" s="40">
        <v>1368</v>
      </c>
    </row>
    <row r="658" spans="1:4" x14ac:dyDescent="0.25">
      <c r="A658">
        <v>855</v>
      </c>
      <c r="B658" s="5">
        <v>43410</v>
      </c>
      <c r="C658" t="s">
        <v>93</v>
      </c>
      <c r="D658" s="40">
        <v>922</v>
      </c>
    </row>
    <row r="659" spans="1:4" x14ac:dyDescent="0.25">
      <c r="A659">
        <v>119</v>
      </c>
      <c r="B659" s="5">
        <v>43271</v>
      </c>
      <c r="C659" t="s">
        <v>92</v>
      </c>
      <c r="D659" s="40">
        <v>1880</v>
      </c>
    </row>
    <row r="660" spans="1:4" x14ac:dyDescent="0.25">
      <c r="A660">
        <v>429</v>
      </c>
      <c r="B660" s="5">
        <v>43325</v>
      </c>
      <c r="C660" t="s">
        <v>92</v>
      </c>
      <c r="D660" s="40">
        <v>1843</v>
      </c>
    </row>
    <row r="661" spans="1:4" x14ac:dyDescent="0.25">
      <c r="A661">
        <v>877</v>
      </c>
      <c r="B661" s="5">
        <v>43414</v>
      </c>
      <c r="C661" t="s">
        <v>92</v>
      </c>
      <c r="D661" s="40">
        <v>961</v>
      </c>
    </row>
    <row r="662" spans="1:4" x14ac:dyDescent="0.25">
      <c r="A662">
        <v>11</v>
      </c>
      <c r="B662" s="5">
        <v>43254</v>
      </c>
      <c r="C662" t="s">
        <v>92</v>
      </c>
      <c r="D662" s="40">
        <v>1447</v>
      </c>
    </row>
    <row r="663" spans="1:4" x14ac:dyDescent="0.25">
      <c r="A663">
        <v>633</v>
      </c>
      <c r="B663" s="5">
        <v>43365</v>
      </c>
      <c r="C663" t="s">
        <v>93</v>
      </c>
      <c r="D663" s="40">
        <v>882</v>
      </c>
    </row>
    <row r="664" spans="1:4" x14ac:dyDescent="0.25">
      <c r="A664">
        <v>146</v>
      </c>
      <c r="B664" s="5">
        <v>43275</v>
      </c>
      <c r="C664" t="s">
        <v>92</v>
      </c>
      <c r="D664" s="40">
        <v>836</v>
      </c>
    </row>
    <row r="665" spans="1:4" x14ac:dyDescent="0.25">
      <c r="A665">
        <v>94</v>
      </c>
      <c r="B665" s="5">
        <v>43267</v>
      </c>
      <c r="C665" t="s">
        <v>94</v>
      </c>
      <c r="D665" s="40">
        <v>1645</v>
      </c>
    </row>
    <row r="666" spans="1:4" x14ac:dyDescent="0.25">
      <c r="A666">
        <v>870</v>
      </c>
      <c r="B666" s="5">
        <v>43413</v>
      </c>
      <c r="C666" t="s">
        <v>93</v>
      </c>
      <c r="D666" s="40">
        <v>1216</v>
      </c>
    </row>
    <row r="667" spans="1:4" x14ac:dyDescent="0.25">
      <c r="A667">
        <v>507</v>
      </c>
      <c r="B667" s="5">
        <v>43339</v>
      </c>
      <c r="C667" t="s">
        <v>93</v>
      </c>
      <c r="D667" s="40">
        <v>1031</v>
      </c>
    </row>
    <row r="668" spans="1:4" x14ac:dyDescent="0.25">
      <c r="A668">
        <v>27</v>
      </c>
      <c r="B668" s="5">
        <v>43255</v>
      </c>
      <c r="C668" t="s">
        <v>94</v>
      </c>
      <c r="D668" s="40">
        <v>1560</v>
      </c>
    </row>
    <row r="669" spans="1:4" x14ac:dyDescent="0.25">
      <c r="A669">
        <v>564</v>
      </c>
      <c r="B669" s="5">
        <v>43349</v>
      </c>
      <c r="C669" t="s">
        <v>92</v>
      </c>
      <c r="D669" s="40">
        <v>1196</v>
      </c>
    </row>
    <row r="670" spans="1:4" x14ac:dyDescent="0.25">
      <c r="A670">
        <v>682</v>
      </c>
      <c r="B670" s="5">
        <v>43375</v>
      </c>
      <c r="C670" t="s">
        <v>92</v>
      </c>
      <c r="D670" s="40">
        <v>1477</v>
      </c>
    </row>
    <row r="671" spans="1:4" x14ac:dyDescent="0.25">
      <c r="A671">
        <v>795</v>
      </c>
      <c r="B671" s="5">
        <v>43397</v>
      </c>
      <c r="C671" t="s">
        <v>94</v>
      </c>
      <c r="D671" s="40">
        <v>971</v>
      </c>
    </row>
    <row r="672" spans="1:4" x14ac:dyDescent="0.25">
      <c r="A672">
        <v>324</v>
      </c>
      <c r="B672" s="5">
        <v>43305</v>
      </c>
      <c r="C672" t="s">
        <v>94</v>
      </c>
      <c r="D672" s="40">
        <v>667</v>
      </c>
    </row>
    <row r="673" spans="1:4" x14ac:dyDescent="0.25">
      <c r="A673">
        <v>509</v>
      </c>
      <c r="B673" s="5">
        <v>43339</v>
      </c>
      <c r="C673" t="s">
        <v>94</v>
      </c>
      <c r="D673" s="40">
        <v>1219</v>
      </c>
    </row>
    <row r="674" spans="1:4" x14ac:dyDescent="0.25">
      <c r="A674">
        <v>263</v>
      </c>
      <c r="B674" s="5">
        <v>43295</v>
      </c>
      <c r="C674" t="s">
        <v>93</v>
      </c>
      <c r="D674" s="40">
        <v>1157</v>
      </c>
    </row>
    <row r="675" spans="1:4" x14ac:dyDescent="0.25">
      <c r="A675">
        <v>17</v>
      </c>
      <c r="B675" s="5">
        <v>43254</v>
      </c>
      <c r="C675" t="s">
        <v>93</v>
      </c>
      <c r="D675" s="40">
        <v>1233</v>
      </c>
    </row>
    <row r="676" spans="1:4" x14ac:dyDescent="0.25">
      <c r="A676">
        <v>813</v>
      </c>
      <c r="B676" s="5">
        <v>43401</v>
      </c>
      <c r="C676" t="s">
        <v>93</v>
      </c>
      <c r="D676" s="40">
        <v>1891</v>
      </c>
    </row>
    <row r="677" spans="1:4" x14ac:dyDescent="0.25">
      <c r="A677">
        <v>285</v>
      </c>
      <c r="B677" s="5">
        <v>43298</v>
      </c>
      <c r="C677" t="s">
        <v>92</v>
      </c>
      <c r="D677" s="40">
        <v>1046</v>
      </c>
    </row>
    <row r="678" spans="1:4" x14ac:dyDescent="0.25">
      <c r="A678">
        <v>80</v>
      </c>
      <c r="B678" s="5">
        <v>43265</v>
      </c>
      <c r="C678" t="s">
        <v>94</v>
      </c>
      <c r="D678" s="40">
        <v>1805</v>
      </c>
    </row>
    <row r="679" spans="1:4" x14ac:dyDescent="0.25">
      <c r="A679">
        <v>984</v>
      </c>
      <c r="B679" s="5">
        <v>43432</v>
      </c>
      <c r="C679" t="s">
        <v>93</v>
      </c>
      <c r="D679" s="40">
        <v>1999</v>
      </c>
    </row>
    <row r="680" spans="1:4" x14ac:dyDescent="0.25">
      <c r="A680">
        <v>848</v>
      </c>
      <c r="B680" s="5">
        <v>43409</v>
      </c>
      <c r="C680" t="s">
        <v>92</v>
      </c>
      <c r="D680" s="40">
        <v>1899</v>
      </c>
    </row>
    <row r="681" spans="1:4" x14ac:dyDescent="0.25">
      <c r="A681">
        <v>998</v>
      </c>
      <c r="B681" s="5">
        <v>43434</v>
      </c>
      <c r="C681" t="s">
        <v>92</v>
      </c>
      <c r="D681" s="40">
        <v>1908</v>
      </c>
    </row>
    <row r="682" spans="1:4" x14ac:dyDescent="0.25">
      <c r="A682">
        <v>166</v>
      </c>
      <c r="B682" s="5">
        <v>43279</v>
      </c>
      <c r="C682" t="s">
        <v>92</v>
      </c>
      <c r="D682" s="40">
        <v>1945</v>
      </c>
    </row>
    <row r="683" spans="1:4" x14ac:dyDescent="0.25">
      <c r="A683">
        <v>753</v>
      </c>
      <c r="B683" s="5">
        <v>43388</v>
      </c>
      <c r="C683" t="s">
        <v>92</v>
      </c>
      <c r="D683" s="40">
        <v>690</v>
      </c>
    </row>
    <row r="684" spans="1:4" x14ac:dyDescent="0.25">
      <c r="A684">
        <v>16</v>
      </c>
      <c r="B684" s="5">
        <v>43254</v>
      </c>
      <c r="C684" t="s">
        <v>94</v>
      </c>
      <c r="D684" s="40">
        <v>988</v>
      </c>
    </row>
    <row r="685" spans="1:4" x14ac:dyDescent="0.25">
      <c r="A685">
        <v>862</v>
      </c>
      <c r="B685" s="5">
        <v>43411</v>
      </c>
      <c r="C685" t="s">
        <v>92</v>
      </c>
      <c r="D685" s="40">
        <v>1615</v>
      </c>
    </row>
    <row r="686" spans="1:4" x14ac:dyDescent="0.25">
      <c r="A686">
        <v>791</v>
      </c>
      <c r="B686" s="5">
        <v>43396</v>
      </c>
      <c r="C686" t="s">
        <v>94</v>
      </c>
      <c r="D686" s="40">
        <v>830</v>
      </c>
    </row>
    <row r="687" spans="1:4" x14ac:dyDescent="0.25">
      <c r="A687">
        <v>688</v>
      </c>
      <c r="B687" s="5">
        <v>43377</v>
      </c>
      <c r="C687" t="s">
        <v>92</v>
      </c>
      <c r="D687" s="40">
        <v>537</v>
      </c>
    </row>
    <row r="688" spans="1:4" x14ac:dyDescent="0.25">
      <c r="A688">
        <v>638</v>
      </c>
      <c r="B688" s="5">
        <v>43365</v>
      </c>
      <c r="C688" t="s">
        <v>92</v>
      </c>
      <c r="D688" s="40">
        <v>1700</v>
      </c>
    </row>
    <row r="689" spans="1:4" x14ac:dyDescent="0.25">
      <c r="A689">
        <v>764</v>
      </c>
      <c r="B689" s="5">
        <v>43391</v>
      </c>
      <c r="C689" t="s">
        <v>94</v>
      </c>
      <c r="D689" s="40">
        <v>1357</v>
      </c>
    </row>
    <row r="690" spans="1:4" x14ac:dyDescent="0.25">
      <c r="A690">
        <v>997</v>
      </c>
      <c r="B690" s="5">
        <v>43434</v>
      </c>
      <c r="C690" t="s">
        <v>93</v>
      </c>
      <c r="D690" s="40">
        <v>833</v>
      </c>
    </row>
    <row r="691" spans="1:4" x14ac:dyDescent="0.25">
      <c r="A691">
        <v>689</v>
      </c>
      <c r="B691" s="5">
        <v>43377</v>
      </c>
      <c r="C691" t="s">
        <v>93</v>
      </c>
      <c r="D691" s="40">
        <v>1485</v>
      </c>
    </row>
    <row r="692" spans="1:4" x14ac:dyDescent="0.25">
      <c r="A692">
        <v>467</v>
      </c>
      <c r="B692" s="5">
        <v>43332</v>
      </c>
      <c r="C692" t="s">
        <v>93</v>
      </c>
      <c r="D692" s="40">
        <v>1656</v>
      </c>
    </row>
    <row r="693" spans="1:4" x14ac:dyDescent="0.25">
      <c r="A693">
        <v>86</v>
      </c>
      <c r="B693" s="5">
        <v>43266</v>
      </c>
      <c r="C693" t="s">
        <v>92</v>
      </c>
      <c r="D693" s="40">
        <v>1880</v>
      </c>
    </row>
    <row r="694" spans="1:4" x14ac:dyDescent="0.25">
      <c r="A694">
        <v>730</v>
      </c>
      <c r="B694" s="5">
        <v>43385</v>
      </c>
      <c r="C694" t="s">
        <v>93</v>
      </c>
      <c r="D694" s="40">
        <v>1623</v>
      </c>
    </row>
    <row r="695" spans="1:4" x14ac:dyDescent="0.25">
      <c r="A695">
        <v>155</v>
      </c>
      <c r="B695" s="5">
        <v>43276</v>
      </c>
      <c r="C695" t="s">
        <v>92</v>
      </c>
      <c r="D695" s="40">
        <v>711</v>
      </c>
    </row>
    <row r="696" spans="1:4" x14ac:dyDescent="0.25">
      <c r="A696">
        <v>961</v>
      </c>
      <c r="B696" s="5">
        <v>43428</v>
      </c>
      <c r="C696" t="s">
        <v>94</v>
      </c>
      <c r="D696" s="40">
        <v>1049</v>
      </c>
    </row>
    <row r="697" spans="1:4" x14ac:dyDescent="0.25">
      <c r="A697">
        <v>864</v>
      </c>
      <c r="B697" s="5">
        <v>43411</v>
      </c>
      <c r="C697" t="s">
        <v>92</v>
      </c>
      <c r="D697" s="40">
        <v>559</v>
      </c>
    </row>
    <row r="698" spans="1:4" x14ac:dyDescent="0.25">
      <c r="A698">
        <v>815</v>
      </c>
      <c r="B698" s="5">
        <v>43402</v>
      </c>
      <c r="C698" t="s">
        <v>93</v>
      </c>
      <c r="D698" s="40">
        <v>762</v>
      </c>
    </row>
    <row r="699" spans="1:4" x14ac:dyDescent="0.25">
      <c r="A699">
        <v>111</v>
      </c>
      <c r="B699" s="5">
        <v>43269</v>
      </c>
      <c r="C699" t="s">
        <v>94</v>
      </c>
      <c r="D699" s="40">
        <v>1803</v>
      </c>
    </row>
    <row r="700" spans="1:4" x14ac:dyDescent="0.25">
      <c r="A700">
        <v>992</v>
      </c>
      <c r="B700" s="5">
        <v>43434</v>
      </c>
      <c r="C700" t="s">
        <v>92</v>
      </c>
      <c r="D700" s="40">
        <v>755</v>
      </c>
    </row>
    <row r="701" spans="1:4" x14ac:dyDescent="0.25">
      <c r="A701">
        <v>59</v>
      </c>
      <c r="B701" s="5">
        <v>43261</v>
      </c>
      <c r="C701" t="s">
        <v>92</v>
      </c>
      <c r="D701" s="40">
        <v>1866</v>
      </c>
    </row>
    <row r="702" spans="1:4" x14ac:dyDescent="0.25">
      <c r="A702">
        <v>281</v>
      </c>
      <c r="B702" s="5">
        <v>43298</v>
      </c>
      <c r="C702" t="s">
        <v>93</v>
      </c>
      <c r="D702" s="40">
        <v>820</v>
      </c>
    </row>
    <row r="703" spans="1:4" x14ac:dyDescent="0.25">
      <c r="A703">
        <v>665</v>
      </c>
      <c r="B703" s="5">
        <v>43369</v>
      </c>
      <c r="C703" t="s">
        <v>94</v>
      </c>
      <c r="D703" s="40">
        <v>1247</v>
      </c>
    </row>
    <row r="704" spans="1:4" x14ac:dyDescent="0.25">
      <c r="A704">
        <v>161</v>
      </c>
      <c r="B704" s="5">
        <v>43278</v>
      </c>
      <c r="C704" t="s">
        <v>94</v>
      </c>
      <c r="D704" s="40">
        <v>1370</v>
      </c>
    </row>
    <row r="705" spans="1:4" x14ac:dyDescent="0.25">
      <c r="A705">
        <v>722</v>
      </c>
      <c r="B705" s="5">
        <v>43384</v>
      </c>
      <c r="C705" t="s">
        <v>93</v>
      </c>
      <c r="D705" s="40">
        <v>1614</v>
      </c>
    </row>
    <row r="706" spans="1:4" x14ac:dyDescent="0.25">
      <c r="A706">
        <v>292</v>
      </c>
      <c r="B706" s="5">
        <v>43299</v>
      </c>
      <c r="C706" t="s">
        <v>92</v>
      </c>
      <c r="D706" s="40">
        <v>629</v>
      </c>
    </row>
    <row r="707" spans="1:4" x14ac:dyDescent="0.25">
      <c r="A707">
        <v>164</v>
      </c>
      <c r="B707" s="5">
        <v>43278</v>
      </c>
      <c r="C707" t="s">
        <v>92</v>
      </c>
      <c r="D707" s="40">
        <v>1108</v>
      </c>
    </row>
    <row r="708" spans="1:4" x14ac:dyDescent="0.25">
      <c r="A708">
        <v>492</v>
      </c>
      <c r="B708" s="5">
        <v>43336</v>
      </c>
      <c r="C708" t="s">
        <v>92</v>
      </c>
      <c r="D708" s="40">
        <v>1859</v>
      </c>
    </row>
    <row r="709" spans="1:4" x14ac:dyDescent="0.25">
      <c r="A709">
        <v>190</v>
      </c>
      <c r="B709" s="5">
        <v>43283</v>
      </c>
      <c r="C709" t="s">
        <v>93</v>
      </c>
      <c r="D709" s="40">
        <v>1281</v>
      </c>
    </row>
    <row r="710" spans="1:4" x14ac:dyDescent="0.25">
      <c r="A710">
        <v>731</v>
      </c>
      <c r="B710" s="5">
        <v>43385</v>
      </c>
      <c r="C710" t="s">
        <v>92</v>
      </c>
      <c r="D710" s="40">
        <v>514</v>
      </c>
    </row>
    <row r="711" spans="1:4" x14ac:dyDescent="0.25">
      <c r="A711">
        <v>529</v>
      </c>
      <c r="B711" s="5">
        <v>43344</v>
      </c>
      <c r="C711" t="s">
        <v>92</v>
      </c>
      <c r="D711" s="40">
        <v>1990</v>
      </c>
    </row>
    <row r="712" spans="1:4" x14ac:dyDescent="0.25">
      <c r="A712">
        <v>136</v>
      </c>
      <c r="B712" s="5">
        <v>43273</v>
      </c>
      <c r="C712" t="s">
        <v>92</v>
      </c>
      <c r="D712" s="40">
        <v>628</v>
      </c>
    </row>
    <row r="713" spans="1:4" x14ac:dyDescent="0.25">
      <c r="A713">
        <v>65</v>
      </c>
      <c r="B713" s="5">
        <v>43261</v>
      </c>
      <c r="C713" t="s">
        <v>92</v>
      </c>
      <c r="D713" s="40">
        <v>1550</v>
      </c>
    </row>
    <row r="714" spans="1:4" x14ac:dyDescent="0.25">
      <c r="A714">
        <v>79</v>
      </c>
      <c r="B714" s="5">
        <v>43265</v>
      </c>
      <c r="C714" t="s">
        <v>94</v>
      </c>
      <c r="D714" s="40">
        <v>1771</v>
      </c>
    </row>
    <row r="715" spans="1:4" x14ac:dyDescent="0.25">
      <c r="A715">
        <v>788</v>
      </c>
      <c r="B715" s="5">
        <v>43395</v>
      </c>
      <c r="C715" t="s">
        <v>93</v>
      </c>
      <c r="D715" s="40">
        <v>1025</v>
      </c>
    </row>
    <row r="716" spans="1:4" x14ac:dyDescent="0.25">
      <c r="A716">
        <v>317</v>
      </c>
      <c r="B716" s="5">
        <v>43304</v>
      </c>
      <c r="C716" t="s">
        <v>94</v>
      </c>
      <c r="D716" s="40">
        <v>1920</v>
      </c>
    </row>
    <row r="717" spans="1:4" x14ac:dyDescent="0.25">
      <c r="A717">
        <v>610</v>
      </c>
      <c r="B717" s="5">
        <v>43359</v>
      </c>
      <c r="C717" t="s">
        <v>93</v>
      </c>
      <c r="D717" s="40">
        <v>757</v>
      </c>
    </row>
    <row r="718" spans="1:4" x14ac:dyDescent="0.25">
      <c r="A718">
        <v>755</v>
      </c>
      <c r="B718" s="5">
        <v>43389</v>
      </c>
      <c r="C718" t="s">
        <v>93</v>
      </c>
      <c r="D718" s="40">
        <v>1175</v>
      </c>
    </row>
    <row r="719" spans="1:4" x14ac:dyDescent="0.25">
      <c r="A719">
        <v>904</v>
      </c>
      <c r="B719" s="5">
        <v>43419</v>
      </c>
      <c r="C719" t="s">
        <v>94</v>
      </c>
      <c r="D719" s="40">
        <v>1133</v>
      </c>
    </row>
    <row r="720" spans="1:4" x14ac:dyDescent="0.25">
      <c r="A720">
        <v>381</v>
      </c>
      <c r="B720" s="5">
        <v>43315</v>
      </c>
      <c r="C720" t="s">
        <v>92</v>
      </c>
      <c r="D720" s="40">
        <v>1454</v>
      </c>
    </row>
    <row r="721" spans="1:4" x14ac:dyDescent="0.25">
      <c r="A721">
        <v>671</v>
      </c>
      <c r="B721" s="5">
        <v>43371</v>
      </c>
      <c r="C721" t="s">
        <v>94</v>
      </c>
      <c r="D721" s="40">
        <v>758</v>
      </c>
    </row>
    <row r="722" spans="1:4" x14ac:dyDescent="0.25">
      <c r="A722">
        <v>101</v>
      </c>
      <c r="B722" s="5">
        <v>43268</v>
      </c>
      <c r="C722" t="s">
        <v>93</v>
      </c>
      <c r="D722" s="40">
        <v>708</v>
      </c>
    </row>
    <row r="723" spans="1:4" x14ac:dyDescent="0.25">
      <c r="A723">
        <v>981</v>
      </c>
      <c r="B723" s="5">
        <v>43432</v>
      </c>
      <c r="C723" t="s">
        <v>94</v>
      </c>
      <c r="D723" s="40">
        <v>1788</v>
      </c>
    </row>
    <row r="724" spans="1:4" x14ac:dyDescent="0.25">
      <c r="A724">
        <v>501</v>
      </c>
      <c r="B724" s="5">
        <v>43338</v>
      </c>
      <c r="C724" t="s">
        <v>94</v>
      </c>
      <c r="D724" s="40">
        <v>1761</v>
      </c>
    </row>
    <row r="725" spans="1:4" x14ac:dyDescent="0.25">
      <c r="A725">
        <v>304</v>
      </c>
      <c r="B725" s="5">
        <v>43301</v>
      </c>
      <c r="C725" t="s">
        <v>92</v>
      </c>
      <c r="D725" s="40">
        <v>1200</v>
      </c>
    </row>
    <row r="726" spans="1:4" x14ac:dyDescent="0.25">
      <c r="A726">
        <v>886</v>
      </c>
      <c r="B726" s="5">
        <v>43415</v>
      </c>
      <c r="C726" t="s">
        <v>92</v>
      </c>
      <c r="D726" s="40">
        <v>1249</v>
      </c>
    </row>
    <row r="727" spans="1:4" x14ac:dyDescent="0.25">
      <c r="A727">
        <v>83</v>
      </c>
      <c r="B727" s="5">
        <v>43265</v>
      </c>
      <c r="C727" t="s">
        <v>94</v>
      </c>
      <c r="D727" s="40">
        <v>602</v>
      </c>
    </row>
    <row r="728" spans="1:4" x14ac:dyDescent="0.25">
      <c r="A728">
        <v>845</v>
      </c>
      <c r="B728" s="5">
        <v>43408</v>
      </c>
      <c r="C728" t="s">
        <v>93</v>
      </c>
      <c r="D728" s="40">
        <v>1144</v>
      </c>
    </row>
    <row r="729" spans="1:4" x14ac:dyDescent="0.25">
      <c r="A729">
        <v>750</v>
      </c>
      <c r="B729" s="5">
        <v>43388</v>
      </c>
      <c r="C729" t="s">
        <v>93</v>
      </c>
      <c r="D729" s="40">
        <v>1386</v>
      </c>
    </row>
    <row r="730" spans="1:4" x14ac:dyDescent="0.25">
      <c r="A730">
        <v>784</v>
      </c>
      <c r="B730" s="5">
        <v>43394</v>
      </c>
      <c r="C730" t="s">
        <v>93</v>
      </c>
      <c r="D730" s="40">
        <v>1362</v>
      </c>
    </row>
    <row r="731" spans="1:4" x14ac:dyDescent="0.25">
      <c r="A731">
        <v>881</v>
      </c>
      <c r="B731" s="5">
        <v>43415</v>
      </c>
      <c r="C731" t="s">
        <v>94</v>
      </c>
      <c r="D731" s="40">
        <v>1652</v>
      </c>
    </row>
    <row r="732" spans="1:4" x14ac:dyDescent="0.25">
      <c r="A732">
        <v>160</v>
      </c>
      <c r="B732" s="5">
        <v>43277</v>
      </c>
      <c r="C732" t="s">
        <v>94</v>
      </c>
      <c r="D732" s="40">
        <v>1228</v>
      </c>
    </row>
    <row r="733" spans="1:4" x14ac:dyDescent="0.25">
      <c r="A733">
        <v>163</v>
      </c>
      <c r="B733" s="5">
        <v>43278</v>
      </c>
      <c r="C733" t="s">
        <v>92</v>
      </c>
      <c r="D733" s="40">
        <v>1952</v>
      </c>
    </row>
    <row r="734" spans="1:4" x14ac:dyDescent="0.25">
      <c r="A734">
        <v>826</v>
      </c>
      <c r="B734" s="5">
        <v>43404</v>
      </c>
      <c r="C734" t="s">
        <v>92</v>
      </c>
      <c r="D734" s="40">
        <v>1386</v>
      </c>
    </row>
    <row r="735" spans="1:4" x14ac:dyDescent="0.25">
      <c r="A735">
        <v>423</v>
      </c>
      <c r="B735" s="5">
        <v>43324</v>
      </c>
      <c r="C735" t="s">
        <v>94</v>
      </c>
      <c r="D735" s="40">
        <v>673</v>
      </c>
    </row>
    <row r="736" spans="1:4" x14ac:dyDescent="0.25">
      <c r="A736">
        <v>456</v>
      </c>
      <c r="B736" s="5">
        <v>43330</v>
      </c>
      <c r="C736" t="s">
        <v>94</v>
      </c>
      <c r="D736" s="40">
        <v>537</v>
      </c>
    </row>
    <row r="737" spans="1:4" x14ac:dyDescent="0.25">
      <c r="A737">
        <v>332</v>
      </c>
      <c r="B737" s="5">
        <v>43306</v>
      </c>
      <c r="C737" t="s">
        <v>93</v>
      </c>
      <c r="D737" s="40">
        <v>1881</v>
      </c>
    </row>
    <row r="738" spans="1:4" x14ac:dyDescent="0.25">
      <c r="A738">
        <v>34</v>
      </c>
      <c r="B738" s="5">
        <v>43256</v>
      </c>
      <c r="C738" t="s">
        <v>94</v>
      </c>
      <c r="D738" s="40">
        <v>1545</v>
      </c>
    </row>
    <row r="739" spans="1:4" x14ac:dyDescent="0.25">
      <c r="A739">
        <v>173</v>
      </c>
      <c r="B739" s="5">
        <v>43280</v>
      </c>
      <c r="C739" t="s">
        <v>93</v>
      </c>
      <c r="D739" s="40">
        <v>1609</v>
      </c>
    </row>
    <row r="740" spans="1:4" x14ac:dyDescent="0.25">
      <c r="A740">
        <v>230</v>
      </c>
      <c r="B740" s="5">
        <v>43289</v>
      </c>
      <c r="C740" t="s">
        <v>92</v>
      </c>
      <c r="D740" s="40">
        <v>605</v>
      </c>
    </row>
    <row r="741" spans="1:4" x14ac:dyDescent="0.25">
      <c r="A741">
        <v>143</v>
      </c>
      <c r="B741" s="5">
        <v>43275</v>
      </c>
      <c r="C741" t="s">
        <v>92</v>
      </c>
      <c r="D741" s="40">
        <v>962</v>
      </c>
    </row>
    <row r="742" spans="1:4" x14ac:dyDescent="0.25">
      <c r="A742">
        <v>76</v>
      </c>
      <c r="B742" s="5">
        <v>43264</v>
      </c>
      <c r="C742" t="s">
        <v>92</v>
      </c>
      <c r="D742" s="40">
        <v>1155</v>
      </c>
    </row>
    <row r="743" spans="1:4" x14ac:dyDescent="0.25">
      <c r="A743">
        <v>36</v>
      </c>
      <c r="B743" s="5">
        <v>43257</v>
      </c>
      <c r="C743" t="s">
        <v>94</v>
      </c>
      <c r="D743" s="40">
        <v>1198</v>
      </c>
    </row>
    <row r="744" spans="1:4" x14ac:dyDescent="0.25">
      <c r="A744">
        <v>409</v>
      </c>
      <c r="B744" s="5">
        <v>43322</v>
      </c>
      <c r="C744" t="s">
        <v>92</v>
      </c>
      <c r="D744" s="40">
        <v>988</v>
      </c>
    </row>
    <row r="745" spans="1:4" x14ac:dyDescent="0.25">
      <c r="A745">
        <v>39</v>
      </c>
      <c r="B745" s="5">
        <v>43257</v>
      </c>
      <c r="C745" t="s">
        <v>92</v>
      </c>
      <c r="D745" s="40">
        <v>1831</v>
      </c>
    </row>
    <row r="746" spans="1:4" x14ac:dyDescent="0.25">
      <c r="A746">
        <v>225</v>
      </c>
      <c r="B746" s="5">
        <v>43288</v>
      </c>
      <c r="C746" t="s">
        <v>92</v>
      </c>
      <c r="D746" s="40">
        <v>1759</v>
      </c>
    </row>
    <row r="747" spans="1:4" x14ac:dyDescent="0.25">
      <c r="A747">
        <v>290</v>
      </c>
      <c r="B747" s="5">
        <v>43299</v>
      </c>
      <c r="C747" t="s">
        <v>94</v>
      </c>
      <c r="D747" s="40">
        <v>1246</v>
      </c>
    </row>
    <row r="748" spans="1:4" x14ac:dyDescent="0.25">
      <c r="A748">
        <v>729</v>
      </c>
      <c r="B748" s="5">
        <v>43385</v>
      </c>
      <c r="C748" t="s">
        <v>93</v>
      </c>
      <c r="D748" s="40">
        <v>591</v>
      </c>
    </row>
    <row r="749" spans="1:4" x14ac:dyDescent="0.25">
      <c r="A749">
        <v>714</v>
      </c>
      <c r="B749" s="5">
        <v>43383</v>
      </c>
      <c r="C749" t="s">
        <v>92</v>
      </c>
      <c r="D749" s="40">
        <v>956</v>
      </c>
    </row>
    <row r="750" spans="1:4" x14ac:dyDescent="0.25">
      <c r="A750">
        <v>256</v>
      </c>
      <c r="B750" s="5">
        <v>43294</v>
      </c>
      <c r="C750" t="s">
        <v>94</v>
      </c>
      <c r="D750" s="40">
        <v>599</v>
      </c>
    </row>
    <row r="751" spans="1:4" x14ac:dyDescent="0.25">
      <c r="A751">
        <v>804</v>
      </c>
      <c r="B751" s="5">
        <v>43399</v>
      </c>
      <c r="C751" t="s">
        <v>93</v>
      </c>
      <c r="D751" s="40">
        <v>771</v>
      </c>
    </row>
    <row r="752" spans="1:4" x14ac:dyDescent="0.25">
      <c r="A752">
        <v>430</v>
      </c>
      <c r="B752" s="5">
        <v>43326</v>
      </c>
      <c r="C752" t="s">
        <v>93</v>
      </c>
      <c r="D752" s="40">
        <v>1415</v>
      </c>
    </row>
    <row r="753" spans="1:4" x14ac:dyDescent="0.25">
      <c r="A753">
        <v>7</v>
      </c>
      <c r="B753" s="5">
        <v>43253</v>
      </c>
      <c r="C753" t="s">
        <v>94</v>
      </c>
      <c r="D753" s="40">
        <v>1336</v>
      </c>
    </row>
    <row r="754" spans="1:4" x14ac:dyDescent="0.25">
      <c r="A754">
        <v>420</v>
      </c>
      <c r="B754" s="5">
        <v>43323</v>
      </c>
      <c r="C754" t="s">
        <v>92</v>
      </c>
      <c r="D754" s="40">
        <v>1862</v>
      </c>
    </row>
    <row r="755" spans="1:4" x14ac:dyDescent="0.25">
      <c r="A755">
        <v>732</v>
      </c>
      <c r="B755" s="5">
        <v>43386</v>
      </c>
      <c r="C755" t="s">
        <v>93</v>
      </c>
      <c r="D755" s="40">
        <v>723</v>
      </c>
    </row>
    <row r="756" spans="1:4" x14ac:dyDescent="0.25">
      <c r="A756">
        <v>48</v>
      </c>
      <c r="B756" s="5">
        <v>43259</v>
      </c>
      <c r="C756" t="s">
        <v>92</v>
      </c>
      <c r="D756" s="40">
        <v>1055</v>
      </c>
    </row>
    <row r="757" spans="1:4" x14ac:dyDescent="0.25">
      <c r="A757">
        <v>960</v>
      </c>
      <c r="B757" s="5">
        <v>43428</v>
      </c>
      <c r="C757" t="s">
        <v>94</v>
      </c>
      <c r="D757" s="40">
        <v>1937</v>
      </c>
    </row>
    <row r="758" spans="1:4" x14ac:dyDescent="0.25">
      <c r="A758">
        <v>318</v>
      </c>
      <c r="B758" s="5">
        <v>43304</v>
      </c>
      <c r="C758" t="s">
        <v>93</v>
      </c>
      <c r="D758" s="40">
        <v>1795</v>
      </c>
    </row>
    <row r="759" spans="1:4" x14ac:dyDescent="0.25">
      <c r="A759">
        <v>284</v>
      </c>
      <c r="B759" s="5">
        <v>43298</v>
      </c>
      <c r="C759" t="s">
        <v>93</v>
      </c>
      <c r="D759" s="40">
        <v>577</v>
      </c>
    </row>
    <row r="760" spans="1:4" x14ac:dyDescent="0.25">
      <c r="A760">
        <v>148</v>
      </c>
      <c r="B760" s="5">
        <v>43275</v>
      </c>
      <c r="C760" t="s">
        <v>93</v>
      </c>
      <c r="D760" s="40">
        <v>736</v>
      </c>
    </row>
    <row r="761" spans="1:4" x14ac:dyDescent="0.25">
      <c r="A761">
        <v>403</v>
      </c>
      <c r="B761" s="5">
        <v>43321</v>
      </c>
      <c r="C761" t="s">
        <v>93</v>
      </c>
      <c r="D761" s="40">
        <v>1477</v>
      </c>
    </row>
    <row r="762" spans="1:4" x14ac:dyDescent="0.25">
      <c r="A762">
        <v>806</v>
      </c>
      <c r="B762" s="5">
        <v>43400</v>
      </c>
      <c r="C762" t="s">
        <v>93</v>
      </c>
      <c r="D762" s="40">
        <v>1482</v>
      </c>
    </row>
    <row r="763" spans="1:4" x14ac:dyDescent="0.25">
      <c r="A763">
        <v>293</v>
      </c>
      <c r="B763" s="5">
        <v>43300</v>
      </c>
      <c r="C763" t="s">
        <v>92</v>
      </c>
      <c r="D763" s="40">
        <v>1091</v>
      </c>
    </row>
    <row r="764" spans="1:4" x14ac:dyDescent="0.25">
      <c r="A764">
        <v>895</v>
      </c>
      <c r="B764" s="5">
        <v>43416</v>
      </c>
      <c r="C764" t="s">
        <v>93</v>
      </c>
      <c r="D764" s="40">
        <v>1057</v>
      </c>
    </row>
    <row r="765" spans="1:4" x14ac:dyDescent="0.25">
      <c r="A765">
        <v>777</v>
      </c>
      <c r="B765" s="5">
        <v>43393</v>
      </c>
      <c r="C765" t="s">
        <v>94</v>
      </c>
      <c r="D765" s="40">
        <v>1720</v>
      </c>
    </row>
    <row r="766" spans="1:4" x14ac:dyDescent="0.25">
      <c r="A766">
        <v>822</v>
      </c>
      <c r="B766" s="5">
        <v>43403</v>
      </c>
      <c r="C766" t="s">
        <v>93</v>
      </c>
      <c r="D766" s="40">
        <v>743</v>
      </c>
    </row>
    <row r="767" spans="1:4" x14ac:dyDescent="0.25">
      <c r="A767">
        <v>294</v>
      </c>
      <c r="B767" s="5">
        <v>43300</v>
      </c>
      <c r="C767" t="s">
        <v>92</v>
      </c>
      <c r="D767" s="40">
        <v>982</v>
      </c>
    </row>
    <row r="768" spans="1:4" x14ac:dyDescent="0.25">
      <c r="A768">
        <v>782</v>
      </c>
      <c r="B768" s="5">
        <v>43393</v>
      </c>
      <c r="C768" t="s">
        <v>93</v>
      </c>
      <c r="D768" s="40">
        <v>929</v>
      </c>
    </row>
    <row r="769" spans="1:4" x14ac:dyDescent="0.25">
      <c r="A769">
        <v>747</v>
      </c>
      <c r="B769" s="5">
        <v>43388</v>
      </c>
      <c r="C769" t="s">
        <v>92</v>
      </c>
      <c r="D769" s="40">
        <v>933</v>
      </c>
    </row>
    <row r="770" spans="1:4" x14ac:dyDescent="0.25">
      <c r="A770">
        <v>853</v>
      </c>
      <c r="B770" s="5">
        <v>43410</v>
      </c>
      <c r="C770" t="s">
        <v>92</v>
      </c>
      <c r="D770" s="40">
        <v>873</v>
      </c>
    </row>
    <row r="771" spans="1:4" x14ac:dyDescent="0.25">
      <c r="A771">
        <v>768</v>
      </c>
      <c r="B771" s="5">
        <v>43392</v>
      </c>
      <c r="C771" t="s">
        <v>94</v>
      </c>
      <c r="D771" s="40">
        <v>1115</v>
      </c>
    </row>
    <row r="772" spans="1:4" x14ac:dyDescent="0.25">
      <c r="A772">
        <v>395</v>
      </c>
      <c r="B772" s="5">
        <v>43318</v>
      </c>
      <c r="C772" t="s">
        <v>94</v>
      </c>
      <c r="D772" s="40">
        <v>1423</v>
      </c>
    </row>
    <row r="773" spans="1:4" x14ac:dyDescent="0.25">
      <c r="A773">
        <v>145</v>
      </c>
      <c r="B773" s="5">
        <v>43275</v>
      </c>
      <c r="C773" t="s">
        <v>92</v>
      </c>
      <c r="D773" s="40">
        <v>1444</v>
      </c>
    </row>
    <row r="774" spans="1:4" x14ac:dyDescent="0.25">
      <c r="A774">
        <v>465</v>
      </c>
      <c r="B774" s="5">
        <v>43332</v>
      </c>
      <c r="C774" t="s">
        <v>92</v>
      </c>
      <c r="D774" s="40">
        <v>1529</v>
      </c>
    </row>
    <row r="775" spans="1:4" x14ac:dyDescent="0.25">
      <c r="A775">
        <v>472</v>
      </c>
      <c r="B775" s="5">
        <v>43333</v>
      </c>
      <c r="C775" t="s">
        <v>94</v>
      </c>
      <c r="D775" s="40">
        <v>1924</v>
      </c>
    </row>
    <row r="776" spans="1:4" x14ac:dyDescent="0.25">
      <c r="A776">
        <v>243</v>
      </c>
      <c r="B776" s="5">
        <v>43292</v>
      </c>
      <c r="C776" t="s">
        <v>93</v>
      </c>
      <c r="D776" s="40">
        <v>1111</v>
      </c>
    </row>
    <row r="777" spans="1:4" x14ac:dyDescent="0.25">
      <c r="A777">
        <v>849</v>
      </c>
      <c r="B777" s="5">
        <v>43409</v>
      </c>
      <c r="C777" t="s">
        <v>94</v>
      </c>
      <c r="D777" s="40">
        <v>1261</v>
      </c>
    </row>
    <row r="778" spans="1:4" x14ac:dyDescent="0.25">
      <c r="A778">
        <v>227</v>
      </c>
      <c r="B778" s="5">
        <v>43289</v>
      </c>
      <c r="C778" t="s">
        <v>92</v>
      </c>
      <c r="D778" s="40">
        <v>1718</v>
      </c>
    </row>
    <row r="779" spans="1:4" x14ac:dyDescent="0.25">
      <c r="A779">
        <v>770</v>
      </c>
      <c r="B779" s="5">
        <v>43392</v>
      </c>
      <c r="C779" t="s">
        <v>94</v>
      </c>
      <c r="D779" s="40">
        <v>830</v>
      </c>
    </row>
    <row r="780" spans="1:4" x14ac:dyDescent="0.25">
      <c r="A780">
        <v>109</v>
      </c>
      <c r="B780" s="5">
        <v>43269</v>
      </c>
      <c r="C780" t="s">
        <v>92</v>
      </c>
      <c r="D780" s="40">
        <v>1054</v>
      </c>
    </row>
    <row r="781" spans="1:4" x14ac:dyDescent="0.25">
      <c r="A781">
        <v>712</v>
      </c>
      <c r="B781" s="5">
        <v>43382</v>
      </c>
      <c r="C781" t="s">
        <v>92</v>
      </c>
      <c r="D781" s="40">
        <v>1690</v>
      </c>
    </row>
    <row r="782" spans="1:4" x14ac:dyDescent="0.25">
      <c r="A782">
        <v>723</v>
      </c>
      <c r="B782" s="5">
        <v>43384</v>
      </c>
      <c r="C782" t="s">
        <v>94</v>
      </c>
      <c r="D782" s="40">
        <v>1798</v>
      </c>
    </row>
    <row r="783" spans="1:4" x14ac:dyDescent="0.25">
      <c r="A783">
        <v>50</v>
      </c>
      <c r="B783" s="5">
        <v>43260</v>
      </c>
      <c r="C783" t="s">
        <v>92</v>
      </c>
      <c r="D783" s="40">
        <v>1198</v>
      </c>
    </row>
    <row r="784" spans="1:4" x14ac:dyDescent="0.25">
      <c r="A784">
        <v>144</v>
      </c>
      <c r="B784" s="5">
        <v>43275</v>
      </c>
      <c r="C784" t="s">
        <v>93</v>
      </c>
      <c r="D784" s="40">
        <v>641</v>
      </c>
    </row>
    <row r="785" spans="1:4" x14ac:dyDescent="0.25">
      <c r="A785">
        <v>983</v>
      </c>
      <c r="B785" s="5">
        <v>43432</v>
      </c>
      <c r="C785" t="s">
        <v>93</v>
      </c>
      <c r="D785" s="40">
        <v>1494</v>
      </c>
    </row>
    <row r="786" spans="1:4" x14ac:dyDescent="0.25">
      <c r="A786">
        <v>95</v>
      </c>
      <c r="B786" s="5">
        <v>43267</v>
      </c>
      <c r="C786" t="s">
        <v>92</v>
      </c>
      <c r="D786" s="40">
        <v>1762</v>
      </c>
    </row>
    <row r="787" spans="1:4" x14ac:dyDescent="0.25">
      <c r="A787">
        <v>605</v>
      </c>
      <c r="B787" s="5">
        <v>43357</v>
      </c>
      <c r="C787" t="s">
        <v>93</v>
      </c>
      <c r="D787" s="40">
        <v>1323</v>
      </c>
    </row>
    <row r="788" spans="1:4" x14ac:dyDescent="0.25">
      <c r="A788">
        <v>180</v>
      </c>
      <c r="B788" s="5">
        <v>43282</v>
      </c>
      <c r="C788" t="s">
        <v>93</v>
      </c>
      <c r="D788" s="40">
        <v>1533</v>
      </c>
    </row>
    <row r="789" spans="1:4" x14ac:dyDescent="0.25">
      <c r="A789">
        <v>309</v>
      </c>
      <c r="B789" s="5">
        <v>43303</v>
      </c>
      <c r="C789" t="s">
        <v>92</v>
      </c>
      <c r="D789" s="40">
        <v>1509</v>
      </c>
    </row>
    <row r="790" spans="1:4" x14ac:dyDescent="0.25">
      <c r="A790">
        <v>896</v>
      </c>
      <c r="B790" s="5">
        <v>43417</v>
      </c>
      <c r="C790" t="s">
        <v>92</v>
      </c>
      <c r="D790" s="40">
        <v>1940</v>
      </c>
    </row>
    <row r="791" spans="1:4" x14ac:dyDescent="0.25">
      <c r="A791">
        <v>496</v>
      </c>
      <c r="B791" s="5">
        <v>43338</v>
      </c>
      <c r="C791" t="s">
        <v>92</v>
      </c>
      <c r="D791" s="40">
        <v>615</v>
      </c>
    </row>
    <row r="792" spans="1:4" x14ac:dyDescent="0.25">
      <c r="A792">
        <v>264</v>
      </c>
      <c r="B792" s="5">
        <v>43295</v>
      </c>
      <c r="C792" t="s">
        <v>93</v>
      </c>
      <c r="D792" s="40">
        <v>1893</v>
      </c>
    </row>
    <row r="793" spans="1:4" x14ac:dyDescent="0.25">
      <c r="A793">
        <v>629</v>
      </c>
      <c r="B793" s="5">
        <v>43365</v>
      </c>
      <c r="C793" t="s">
        <v>94</v>
      </c>
      <c r="D793" s="40">
        <v>1290</v>
      </c>
    </row>
    <row r="794" spans="1:4" x14ac:dyDescent="0.25">
      <c r="A794">
        <v>944</v>
      </c>
      <c r="B794" s="5">
        <v>43424</v>
      </c>
      <c r="C794" t="s">
        <v>92</v>
      </c>
      <c r="D794" s="40">
        <v>1579</v>
      </c>
    </row>
    <row r="795" spans="1:4" x14ac:dyDescent="0.25">
      <c r="A795">
        <v>77</v>
      </c>
      <c r="B795" s="5">
        <v>43264</v>
      </c>
      <c r="C795" t="s">
        <v>94</v>
      </c>
      <c r="D795" s="40">
        <v>877</v>
      </c>
    </row>
    <row r="796" spans="1:4" x14ac:dyDescent="0.25">
      <c r="A796">
        <v>748</v>
      </c>
      <c r="B796" s="5">
        <v>43388</v>
      </c>
      <c r="C796" t="s">
        <v>94</v>
      </c>
      <c r="D796" s="40">
        <v>1686</v>
      </c>
    </row>
    <row r="797" spans="1:4" x14ac:dyDescent="0.25">
      <c r="A797">
        <v>433</v>
      </c>
      <c r="B797" s="5">
        <v>43327</v>
      </c>
      <c r="C797" t="s">
        <v>94</v>
      </c>
      <c r="D797" s="40">
        <v>1445</v>
      </c>
    </row>
    <row r="798" spans="1:4" x14ac:dyDescent="0.25">
      <c r="A798">
        <v>563</v>
      </c>
      <c r="B798" s="5">
        <v>43349</v>
      </c>
      <c r="C798" t="s">
        <v>93</v>
      </c>
      <c r="D798" s="40">
        <v>1536</v>
      </c>
    </row>
    <row r="799" spans="1:4" x14ac:dyDescent="0.25">
      <c r="A799">
        <v>597</v>
      </c>
      <c r="B799" s="5">
        <v>43356</v>
      </c>
      <c r="C799" t="s">
        <v>92</v>
      </c>
      <c r="D799" s="40">
        <v>1733</v>
      </c>
    </row>
    <row r="800" spans="1:4" x14ac:dyDescent="0.25">
      <c r="A800">
        <v>213</v>
      </c>
      <c r="B800" s="5">
        <v>43287</v>
      </c>
      <c r="C800" t="s">
        <v>94</v>
      </c>
      <c r="D800" s="40">
        <v>1776</v>
      </c>
    </row>
    <row r="801" spans="1:4" x14ac:dyDescent="0.25">
      <c r="A801">
        <v>497</v>
      </c>
      <c r="B801" s="5">
        <v>43338</v>
      </c>
      <c r="C801" t="s">
        <v>93</v>
      </c>
      <c r="D801" s="40">
        <v>1900</v>
      </c>
    </row>
    <row r="802" spans="1:4" x14ac:dyDescent="0.25">
      <c r="A802">
        <v>736</v>
      </c>
      <c r="B802" s="5">
        <v>43386</v>
      </c>
      <c r="C802" t="s">
        <v>93</v>
      </c>
      <c r="D802" s="40">
        <v>1374</v>
      </c>
    </row>
    <row r="803" spans="1:4" x14ac:dyDescent="0.25">
      <c r="A803">
        <v>475</v>
      </c>
      <c r="B803" s="5">
        <v>43333</v>
      </c>
      <c r="C803" t="s">
        <v>92</v>
      </c>
      <c r="D803" s="40">
        <v>1409</v>
      </c>
    </row>
    <row r="804" spans="1:4" x14ac:dyDescent="0.25">
      <c r="A804">
        <v>218</v>
      </c>
      <c r="B804" s="5">
        <v>43287</v>
      </c>
      <c r="C804" t="s">
        <v>94</v>
      </c>
      <c r="D804" s="40">
        <v>1461</v>
      </c>
    </row>
    <row r="805" spans="1:4" x14ac:dyDescent="0.25">
      <c r="A805">
        <v>254</v>
      </c>
      <c r="B805" s="5">
        <v>43294</v>
      </c>
      <c r="C805" t="s">
        <v>92</v>
      </c>
      <c r="D805" s="40">
        <v>1207</v>
      </c>
    </row>
    <row r="806" spans="1:4" x14ac:dyDescent="0.25">
      <c r="A806">
        <v>872</v>
      </c>
      <c r="B806" s="5">
        <v>43413</v>
      </c>
      <c r="C806" t="s">
        <v>92</v>
      </c>
      <c r="D806" s="40">
        <v>1318</v>
      </c>
    </row>
    <row r="807" spans="1:4" x14ac:dyDescent="0.25">
      <c r="A807">
        <v>520</v>
      </c>
      <c r="B807" s="5">
        <v>43342</v>
      </c>
      <c r="C807" t="s">
        <v>92</v>
      </c>
      <c r="D807" s="40">
        <v>599</v>
      </c>
    </row>
    <row r="808" spans="1:4" x14ac:dyDescent="0.25">
      <c r="A808">
        <v>15</v>
      </c>
      <c r="B808" s="5">
        <v>43254</v>
      </c>
      <c r="C808" t="s">
        <v>94</v>
      </c>
      <c r="D808" s="40">
        <v>771</v>
      </c>
    </row>
    <row r="809" spans="1:4" x14ac:dyDescent="0.25">
      <c r="A809">
        <v>781</v>
      </c>
      <c r="B809" s="5">
        <v>43393</v>
      </c>
      <c r="C809" t="s">
        <v>94</v>
      </c>
      <c r="D809" s="40">
        <v>1191</v>
      </c>
    </row>
    <row r="810" spans="1:4" x14ac:dyDescent="0.25">
      <c r="A810">
        <v>899</v>
      </c>
      <c r="B810" s="5">
        <v>43417</v>
      </c>
      <c r="C810" t="s">
        <v>92</v>
      </c>
      <c r="D810" s="40">
        <v>1386</v>
      </c>
    </row>
    <row r="811" spans="1:4" x14ac:dyDescent="0.25">
      <c r="A811">
        <v>8</v>
      </c>
      <c r="B811" s="5">
        <v>43253</v>
      </c>
      <c r="C811" t="s">
        <v>92</v>
      </c>
      <c r="D811" s="40">
        <v>1559</v>
      </c>
    </row>
    <row r="812" spans="1:4" x14ac:dyDescent="0.25">
      <c r="A812">
        <v>184</v>
      </c>
      <c r="B812" s="5">
        <v>43283</v>
      </c>
      <c r="C812" t="s">
        <v>92</v>
      </c>
      <c r="D812" s="40">
        <v>1701</v>
      </c>
    </row>
    <row r="813" spans="1:4" x14ac:dyDescent="0.25">
      <c r="A813">
        <v>704</v>
      </c>
      <c r="B813" s="5">
        <v>43381</v>
      </c>
      <c r="C813" t="s">
        <v>92</v>
      </c>
      <c r="D813" s="40">
        <v>811</v>
      </c>
    </row>
    <row r="814" spans="1:4" x14ac:dyDescent="0.25">
      <c r="A814">
        <v>110</v>
      </c>
      <c r="B814" s="5">
        <v>43269</v>
      </c>
      <c r="C814" t="s">
        <v>94</v>
      </c>
      <c r="D814" s="40">
        <v>1762</v>
      </c>
    </row>
    <row r="815" spans="1:4" x14ac:dyDescent="0.25">
      <c r="A815">
        <v>859</v>
      </c>
      <c r="B815" s="5">
        <v>43411</v>
      </c>
      <c r="C815" t="s">
        <v>93</v>
      </c>
      <c r="D815" s="40">
        <v>522</v>
      </c>
    </row>
    <row r="816" spans="1:4" x14ac:dyDescent="0.25">
      <c r="A816">
        <v>197</v>
      </c>
      <c r="B816" s="5">
        <v>43284</v>
      </c>
      <c r="C816" t="s">
        <v>92</v>
      </c>
      <c r="D816" s="40">
        <v>728</v>
      </c>
    </row>
    <row r="817" spans="1:4" x14ac:dyDescent="0.25">
      <c r="A817">
        <v>205</v>
      </c>
      <c r="B817" s="5">
        <v>43286</v>
      </c>
      <c r="C817" t="s">
        <v>94</v>
      </c>
      <c r="D817" s="40">
        <v>530</v>
      </c>
    </row>
    <row r="818" spans="1:4" x14ac:dyDescent="0.25">
      <c r="A818">
        <v>364</v>
      </c>
      <c r="B818" s="5">
        <v>43313</v>
      </c>
      <c r="C818" t="s">
        <v>93</v>
      </c>
      <c r="D818" s="40">
        <v>1624</v>
      </c>
    </row>
    <row r="819" spans="1:4" x14ac:dyDescent="0.25">
      <c r="A819">
        <v>989</v>
      </c>
      <c r="B819" s="5">
        <v>43433</v>
      </c>
      <c r="C819" t="s">
        <v>94</v>
      </c>
      <c r="D819" s="40">
        <v>1919</v>
      </c>
    </row>
    <row r="820" spans="1:4" x14ac:dyDescent="0.25">
      <c r="A820">
        <v>411</v>
      </c>
      <c r="B820" s="5">
        <v>43322</v>
      </c>
      <c r="C820" t="s">
        <v>93</v>
      </c>
      <c r="D820" s="40">
        <v>517</v>
      </c>
    </row>
    <row r="821" spans="1:4" x14ac:dyDescent="0.25">
      <c r="A821">
        <v>444</v>
      </c>
      <c r="B821" s="5">
        <v>43328</v>
      </c>
      <c r="C821" t="s">
        <v>92</v>
      </c>
      <c r="D821" s="40">
        <v>1131</v>
      </c>
    </row>
    <row r="822" spans="1:4" x14ac:dyDescent="0.25">
      <c r="A822">
        <v>61</v>
      </c>
      <c r="B822" s="5">
        <v>43261</v>
      </c>
      <c r="C822" t="s">
        <v>92</v>
      </c>
      <c r="D822" s="40">
        <v>1081</v>
      </c>
    </row>
    <row r="823" spans="1:4" x14ac:dyDescent="0.25">
      <c r="A823">
        <v>418</v>
      </c>
      <c r="B823" s="5">
        <v>43323</v>
      </c>
      <c r="C823" t="s">
        <v>94</v>
      </c>
      <c r="D823" s="40">
        <v>775</v>
      </c>
    </row>
    <row r="824" spans="1:4" x14ac:dyDescent="0.25">
      <c r="A824">
        <v>3</v>
      </c>
      <c r="B824" s="5">
        <v>43252</v>
      </c>
      <c r="C824" t="s">
        <v>92</v>
      </c>
      <c r="D824" s="40">
        <v>960</v>
      </c>
    </row>
    <row r="825" spans="1:4" x14ac:dyDescent="0.25">
      <c r="A825">
        <v>701</v>
      </c>
      <c r="B825" s="5">
        <v>43381</v>
      </c>
      <c r="C825" t="s">
        <v>92</v>
      </c>
      <c r="D825" s="40">
        <v>1516</v>
      </c>
    </row>
    <row r="826" spans="1:4" x14ac:dyDescent="0.25">
      <c r="A826">
        <v>609</v>
      </c>
      <c r="B826" s="5">
        <v>43358</v>
      </c>
      <c r="C826" t="s">
        <v>94</v>
      </c>
      <c r="D826" s="40">
        <v>1708</v>
      </c>
    </row>
    <row r="827" spans="1:4" x14ac:dyDescent="0.25">
      <c r="A827">
        <v>376</v>
      </c>
      <c r="B827" s="5">
        <v>43314</v>
      </c>
      <c r="C827" t="s">
        <v>92</v>
      </c>
      <c r="D827" s="40">
        <v>558</v>
      </c>
    </row>
    <row r="828" spans="1:4" x14ac:dyDescent="0.25">
      <c r="A828">
        <v>127</v>
      </c>
      <c r="B828" s="5">
        <v>43272</v>
      </c>
      <c r="C828" t="s">
        <v>93</v>
      </c>
      <c r="D828" s="40">
        <v>981</v>
      </c>
    </row>
    <row r="829" spans="1:4" x14ac:dyDescent="0.25">
      <c r="A829">
        <v>919</v>
      </c>
      <c r="B829" s="5">
        <v>43420</v>
      </c>
      <c r="C829" t="s">
        <v>94</v>
      </c>
      <c r="D829" s="40">
        <v>1289</v>
      </c>
    </row>
    <row r="830" spans="1:4" x14ac:dyDescent="0.25">
      <c r="A830">
        <v>726</v>
      </c>
      <c r="B830" s="5">
        <v>43385</v>
      </c>
      <c r="C830" t="s">
        <v>93</v>
      </c>
      <c r="D830" s="40">
        <v>1662</v>
      </c>
    </row>
    <row r="831" spans="1:4" x14ac:dyDescent="0.25">
      <c r="A831">
        <v>567</v>
      </c>
      <c r="B831" s="5">
        <v>43350</v>
      </c>
      <c r="C831" t="s">
        <v>93</v>
      </c>
      <c r="D831" s="40">
        <v>637</v>
      </c>
    </row>
    <row r="832" spans="1:4" x14ac:dyDescent="0.25">
      <c r="A832">
        <v>555</v>
      </c>
      <c r="B832" s="5">
        <v>43348</v>
      </c>
      <c r="C832" t="s">
        <v>94</v>
      </c>
      <c r="D832" s="40">
        <v>1726</v>
      </c>
    </row>
    <row r="833" spans="1:4" x14ac:dyDescent="0.25">
      <c r="A833">
        <v>652</v>
      </c>
      <c r="B833" s="5">
        <v>43367</v>
      </c>
      <c r="C833" t="s">
        <v>94</v>
      </c>
      <c r="D833" s="40">
        <v>1675</v>
      </c>
    </row>
    <row r="834" spans="1:4" x14ac:dyDescent="0.25">
      <c r="A834">
        <v>590</v>
      </c>
      <c r="B834" s="5">
        <v>43355</v>
      </c>
      <c r="C834" t="s">
        <v>93</v>
      </c>
      <c r="D834" s="40">
        <v>1836</v>
      </c>
    </row>
    <row r="835" spans="1:4" x14ac:dyDescent="0.25">
      <c r="A835">
        <v>89</v>
      </c>
      <c r="B835" s="5">
        <v>43266</v>
      </c>
      <c r="C835" t="s">
        <v>93</v>
      </c>
      <c r="D835" s="40">
        <v>1095</v>
      </c>
    </row>
    <row r="836" spans="1:4" x14ac:dyDescent="0.25">
      <c r="A836">
        <v>619</v>
      </c>
      <c r="B836" s="5">
        <v>43362</v>
      </c>
      <c r="C836" t="s">
        <v>92</v>
      </c>
      <c r="D836" s="40">
        <v>539</v>
      </c>
    </row>
    <row r="837" spans="1:4" x14ac:dyDescent="0.25">
      <c r="A837">
        <v>933</v>
      </c>
      <c r="B837" s="5">
        <v>43423</v>
      </c>
      <c r="C837" t="s">
        <v>94</v>
      </c>
      <c r="D837" s="40">
        <v>1562</v>
      </c>
    </row>
    <row r="838" spans="1:4" x14ac:dyDescent="0.25">
      <c r="A838">
        <v>322</v>
      </c>
      <c r="B838" s="5">
        <v>43304</v>
      </c>
      <c r="C838" t="s">
        <v>94</v>
      </c>
      <c r="D838" s="40">
        <v>1397</v>
      </c>
    </row>
    <row r="839" spans="1:4" x14ac:dyDescent="0.25">
      <c r="A839">
        <v>306</v>
      </c>
      <c r="B839" s="5">
        <v>43302</v>
      </c>
      <c r="C839" t="s">
        <v>93</v>
      </c>
      <c r="D839" s="40">
        <v>1804</v>
      </c>
    </row>
    <row r="840" spans="1:4" x14ac:dyDescent="0.25">
      <c r="A840">
        <v>796</v>
      </c>
      <c r="B840" s="5">
        <v>43397</v>
      </c>
      <c r="C840" t="s">
        <v>93</v>
      </c>
      <c r="D840" s="40">
        <v>1749</v>
      </c>
    </row>
    <row r="841" spans="1:4" x14ac:dyDescent="0.25">
      <c r="A841">
        <v>819</v>
      </c>
      <c r="B841" s="5">
        <v>43402</v>
      </c>
      <c r="C841" t="s">
        <v>92</v>
      </c>
      <c r="D841" s="40">
        <v>583</v>
      </c>
    </row>
    <row r="842" spans="1:4" x14ac:dyDescent="0.25">
      <c r="A842">
        <v>38</v>
      </c>
      <c r="B842" s="5">
        <v>43257</v>
      </c>
      <c r="C842" t="s">
        <v>93</v>
      </c>
      <c r="D842" s="40">
        <v>749</v>
      </c>
    </row>
    <row r="843" spans="1:4" x14ac:dyDescent="0.25">
      <c r="A843">
        <v>189</v>
      </c>
      <c r="B843" s="5">
        <v>43283</v>
      </c>
      <c r="C843" t="s">
        <v>93</v>
      </c>
      <c r="D843" s="40">
        <v>1158</v>
      </c>
    </row>
    <row r="844" spans="1:4" x14ac:dyDescent="0.25">
      <c r="A844">
        <v>533</v>
      </c>
      <c r="B844" s="5">
        <v>43344</v>
      </c>
      <c r="C844" t="s">
        <v>92</v>
      </c>
      <c r="D844" s="40">
        <v>717</v>
      </c>
    </row>
    <row r="845" spans="1:4" x14ac:dyDescent="0.25">
      <c r="A845">
        <v>302</v>
      </c>
      <c r="B845" s="5">
        <v>43301</v>
      </c>
      <c r="C845" t="s">
        <v>92</v>
      </c>
      <c r="D845" s="40">
        <v>1556</v>
      </c>
    </row>
    <row r="846" spans="1:4" x14ac:dyDescent="0.25">
      <c r="A846">
        <v>141</v>
      </c>
      <c r="B846" s="5">
        <v>43274</v>
      </c>
      <c r="C846" t="s">
        <v>92</v>
      </c>
      <c r="D846" s="40">
        <v>1173</v>
      </c>
    </row>
    <row r="847" spans="1:4" x14ac:dyDescent="0.25">
      <c r="A847">
        <v>494</v>
      </c>
      <c r="B847" s="5">
        <v>43337</v>
      </c>
      <c r="C847" t="s">
        <v>94</v>
      </c>
      <c r="D847" s="40">
        <v>1219</v>
      </c>
    </row>
    <row r="848" spans="1:4" x14ac:dyDescent="0.25">
      <c r="A848">
        <v>207</v>
      </c>
      <c r="B848" s="5">
        <v>43286</v>
      </c>
      <c r="C848" t="s">
        <v>92</v>
      </c>
      <c r="D848" s="40">
        <v>773</v>
      </c>
    </row>
    <row r="849" spans="1:4" x14ac:dyDescent="0.25">
      <c r="A849">
        <v>922</v>
      </c>
      <c r="B849" s="5">
        <v>43421</v>
      </c>
      <c r="C849" t="s">
        <v>93</v>
      </c>
      <c r="D849" s="40">
        <v>966</v>
      </c>
    </row>
    <row r="850" spans="1:4" x14ac:dyDescent="0.25">
      <c r="A850">
        <v>728</v>
      </c>
      <c r="B850" s="5">
        <v>43385</v>
      </c>
      <c r="C850" t="s">
        <v>92</v>
      </c>
      <c r="D850" s="40">
        <v>1360</v>
      </c>
    </row>
    <row r="851" spans="1:4" x14ac:dyDescent="0.25">
      <c r="A851">
        <v>538</v>
      </c>
      <c r="B851" s="5">
        <v>43345</v>
      </c>
      <c r="C851" t="s">
        <v>94</v>
      </c>
      <c r="D851" s="40">
        <v>1980</v>
      </c>
    </row>
    <row r="852" spans="1:4" x14ac:dyDescent="0.25">
      <c r="A852">
        <v>252</v>
      </c>
      <c r="B852" s="5">
        <v>43293</v>
      </c>
      <c r="C852" t="s">
        <v>94</v>
      </c>
      <c r="D852" s="40">
        <v>816</v>
      </c>
    </row>
    <row r="853" spans="1:4" x14ac:dyDescent="0.25">
      <c r="A853">
        <v>527</v>
      </c>
      <c r="B853" s="5">
        <v>43344</v>
      </c>
      <c r="C853" t="s">
        <v>94</v>
      </c>
      <c r="D853" s="40">
        <v>668</v>
      </c>
    </row>
    <row r="854" spans="1:4" x14ac:dyDescent="0.25">
      <c r="A854">
        <v>238</v>
      </c>
      <c r="B854" s="5">
        <v>43291</v>
      </c>
      <c r="C854" t="s">
        <v>94</v>
      </c>
      <c r="D854" s="40">
        <v>1969</v>
      </c>
    </row>
    <row r="855" spans="1:4" x14ac:dyDescent="0.25">
      <c r="A855">
        <v>568</v>
      </c>
      <c r="B855" s="5">
        <v>43350</v>
      </c>
      <c r="C855" t="s">
        <v>94</v>
      </c>
      <c r="D855" s="40">
        <v>1968</v>
      </c>
    </row>
    <row r="856" spans="1:4" x14ac:dyDescent="0.25">
      <c r="A856">
        <v>202</v>
      </c>
      <c r="B856" s="5">
        <v>43285</v>
      </c>
      <c r="C856" t="s">
        <v>94</v>
      </c>
      <c r="D856" s="40">
        <v>1823</v>
      </c>
    </row>
    <row r="857" spans="1:4" x14ac:dyDescent="0.25">
      <c r="A857">
        <v>763</v>
      </c>
      <c r="B857" s="5">
        <v>43391</v>
      </c>
      <c r="C857" t="s">
        <v>94</v>
      </c>
      <c r="D857" s="40">
        <v>1012</v>
      </c>
    </row>
    <row r="858" spans="1:4" x14ac:dyDescent="0.25">
      <c r="A858">
        <v>345</v>
      </c>
      <c r="B858" s="5">
        <v>43310</v>
      </c>
      <c r="C858" t="s">
        <v>94</v>
      </c>
      <c r="D858" s="40">
        <v>1857</v>
      </c>
    </row>
    <row r="859" spans="1:4" x14ac:dyDescent="0.25">
      <c r="A859">
        <v>789</v>
      </c>
      <c r="B859" s="5">
        <v>43395</v>
      </c>
      <c r="C859" t="s">
        <v>92</v>
      </c>
      <c r="D859" s="40">
        <v>1703</v>
      </c>
    </row>
    <row r="860" spans="1:4" x14ac:dyDescent="0.25">
      <c r="A860">
        <v>25</v>
      </c>
      <c r="B860" s="5">
        <v>43255</v>
      </c>
      <c r="C860" t="s">
        <v>92</v>
      </c>
      <c r="D860" s="40">
        <v>1736</v>
      </c>
    </row>
    <row r="861" spans="1:4" x14ac:dyDescent="0.25">
      <c r="A861">
        <v>114</v>
      </c>
      <c r="B861" s="5">
        <v>43270</v>
      </c>
      <c r="C861" t="s">
        <v>92</v>
      </c>
      <c r="D861" s="40">
        <v>1041</v>
      </c>
    </row>
    <row r="862" spans="1:4" x14ac:dyDescent="0.25">
      <c r="A862">
        <v>836</v>
      </c>
      <c r="B862" s="5">
        <v>43407</v>
      </c>
      <c r="C862" t="s">
        <v>94</v>
      </c>
      <c r="D862" s="40">
        <v>1297</v>
      </c>
    </row>
    <row r="863" spans="1:4" x14ac:dyDescent="0.25">
      <c r="A863">
        <v>393</v>
      </c>
      <c r="B863" s="5">
        <v>43318</v>
      </c>
      <c r="C863" t="s">
        <v>93</v>
      </c>
      <c r="D863" s="40">
        <v>1238</v>
      </c>
    </row>
    <row r="864" spans="1:4" x14ac:dyDescent="0.25">
      <c r="A864">
        <v>361</v>
      </c>
      <c r="B864" s="5">
        <v>43312</v>
      </c>
      <c r="C864" t="s">
        <v>93</v>
      </c>
      <c r="D864" s="40">
        <v>1116</v>
      </c>
    </row>
    <row r="865" spans="1:4" x14ac:dyDescent="0.25">
      <c r="A865">
        <v>208</v>
      </c>
      <c r="B865" s="5">
        <v>43286</v>
      </c>
      <c r="C865" t="s">
        <v>94</v>
      </c>
      <c r="D865" s="40">
        <v>1060</v>
      </c>
    </row>
    <row r="866" spans="1:4" x14ac:dyDescent="0.25">
      <c r="A866">
        <v>380</v>
      </c>
      <c r="B866" s="5">
        <v>43315</v>
      </c>
      <c r="C866" t="s">
        <v>94</v>
      </c>
      <c r="D866" s="40">
        <v>1191</v>
      </c>
    </row>
    <row r="867" spans="1:4" x14ac:dyDescent="0.25">
      <c r="A867">
        <v>660</v>
      </c>
      <c r="B867" s="5">
        <v>43368</v>
      </c>
      <c r="C867" t="s">
        <v>94</v>
      </c>
      <c r="D867" s="40">
        <v>1257</v>
      </c>
    </row>
    <row r="868" spans="1:4" x14ac:dyDescent="0.25">
      <c r="A868">
        <v>323</v>
      </c>
      <c r="B868" s="5">
        <v>43305</v>
      </c>
      <c r="C868" t="s">
        <v>94</v>
      </c>
      <c r="D868" s="40">
        <v>535</v>
      </c>
    </row>
    <row r="869" spans="1:4" x14ac:dyDescent="0.25">
      <c r="A869">
        <v>133</v>
      </c>
      <c r="B869" s="5">
        <v>43273</v>
      </c>
      <c r="C869" t="s">
        <v>93</v>
      </c>
      <c r="D869" s="40">
        <v>1848</v>
      </c>
    </row>
    <row r="870" spans="1:4" x14ac:dyDescent="0.25">
      <c r="A870">
        <v>236</v>
      </c>
      <c r="B870" s="5">
        <v>43291</v>
      </c>
      <c r="C870" t="s">
        <v>93</v>
      </c>
      <c r="D870" s="40">
        <v>815</v>
      </c>
    </row>
    <row r="871" spans="1:4" x14ac:dyDescent="0.25">
      <c r="A871">
        <v>548</v>
      </c>
      <c r="B871" s="5">
        <v>43347</v>
      </c>
      <c r="C871" t="s">
        <v>94</v>
      </c>
      <c r="D871" s="40">
        <v>1953</v>
      </c>
    </row>
    <row r="872" spans="1:4" x14ac:dyDescent="0.25">
      <c r="A872">
        <v>219</v>
      </c>
      <c r="B872" s="5">
        <v>43288</v>
      </c>
      <c r="C872" t="s">
        <v>93</v>
      </c>
      <c r="D872" s="40">
        <v>1271</v>
      </c>
    </row>
    <row r="873" spans="1:4" x14ac:dyDescent="0.25">
      <c r="A873">
        <v>857</v>
      </c>
      <c r="B873" s="5">
        <v>43410</v>
      </c>
      <c r="C873" t="s">
        <v>94</v>
      </c>
      <c r="D873" s="40">
        <v>1418</v>
      </c>
    </row>
    <row r="874" spans="1:4" x14ac:dyDescent="0.25">
      <c r="A874">
        <v>758</v>
      </c>
      <c r="B874" s="5">
        <v>43389</v>
      </c>
      <c r="C874" t="s">
        <v>94</v>
      </c>
      <c r="D874" s="40">
        <v>1736</v>
      </c>
    </row>
    <row r="875" spans="1:4" x14ac:dyDescent="0.25">
      <c r="A875">
        <v>442</v>
      </c>
      <c r="B875" s="5">
        <v>43328</v>
      </c>
      <c r="C875" t="s">
        <v>93</v>
      </c>
      <c r="D875" s="40">
        <v>1345</v>
      </c>
    </row>
    <row r="876" spans="1:4" x14ac:dyDescent="0.25">
      <c r="A876">
        <v>811</v>
      </c>
      <c r="B876" s="5">
        <v>43401</v>
      </c>
      <c r="C876" t="s">
        <v>92</v>
      </c>
      <c r="D876" s="40">
        <v>546</v>
      </c>
    </row>
    <row r="877" spans="1:4" x14ac:dyDescent="0.25">
      <c r="A877">
        <v>949</v>
      </c>
      <c r="B877" s="5">
        <v>43426</v>
      </c>
      <c r="C877" t="s">
        <v>92</v>
      </c>
      <c r="D877" s="40">
        <v>1777</v>
      </c>
    </row>
    <row r="878" spans="1:4" x14ac:dyDescent="0.25">
      <c r="A878">
        <v>71</v>
      </c>
      <c r="B878" s="5">
        <v>43263</v>
      </c>
      <c r="C878" t="s">
        <v>94</v>
      </c>
      <c r="D878" s="40">
        <v>1572</v>
      </c>
    </row>
    <row r="879" spans="1:4" x14ac:dyDescent="0.25">
      <c r="A879">
        <v>4</v>
      </c>
      <c r="B879" s="5">
        <v>43252</v>
      </c>
      <c r="C879" t="s">
        <v>93</v>
      </c>
      <c r="D879" s="40">
        <v>552</v>
      </c>
    </row>
    <row r="880" spans="1:4" x14ac:dyDescent="0.25">
      <c r="A880">
        <v>394</v>
      </c>
      <c r="B880" s="5">
        <v>43318</v>
      </c>
      <c r="C880" t="s">
        <v>93</v>
      </c>
      <c r="D880" s="40">
        <v>1547</v>
      </c>
    </row>
    <row r="881" spans="1:4" x14ac:dyDescent="0.25">
      <c r="A881">
        <v>765</v>
      </c>
      <c r="B881" s="5">
        <v>43391</v>
      </c>
      <c r="C881" t="s">
        <v>92</v>
      </c>
      <c r="D881" s="40">
        <v>990</v>
      </c>
    </row>
    <row r="882" spans="1:4" x14ac:dyDescent="0.25">
      <c r="A882">
        <v>149</v>
      </c>
      <c r="B882" s="5">
        <v>43276</v>
      </c>
      <c r="C882" t="s">
        <v>94</v>
      </c>
      <c r="D882" s="40">
        <v>765</v>
      </c>
    </row>
    <row r="883" spans="1:4" x14ac:dyDescent="0.25">
      <c r="A883">
        <v>560</v>
      </c>
      <c r="B883" s="5">
        <v>43348</v>
      </c>
      <c r="C883" t="s">
        <v>93</v>
      </c>
      <c r="D883" s="40">
        <v>1712</v>
      </c>
    </row>
    <row r="884" spans="1:4" x14ac:dyDescent="0.25">
      <c r="A884">
        <v>66</v>
      </c>
      <c r="B884" s="5">
        <v>43262</v>
      </c>
      <c r="C884" t="s">
        <v>94</v>
      </c>
      <c r="D884" s="40">
        <v>780</v>
      </c>
    </row>
    <row r="885" spans="1:4" x14ac:dyDescent="0.25">
      <c r="A885">
        <v>930</v>
      </c>
      <c r="B885" s="5">
        <v>43422</v>
      </c>
      <c r="C885" t="s">
        <v>94</v>
      </c>
      <c r="D885" s="40">
        <v>1421</v>
      </c>
    </row>
    <row r="886" spans="1:4" x14ac:dyDescent="0.25">
      <c r="A886">
        <v>901</v>
      </c>
      <c r="B886" s="5">
        <v>43418</v>
      </c>
      <c r="C886" t="s">
        <v>92</v>
      </c>
      <c r="D886" s="40">
        <v>1226</v>
      </c>
    </row>
    <row r="887" spans="1:4" x14ac:dyDescent="0.25">
      <c r="A887">
        <v>413</v>
      </c>
      <c r="B887" s="5">
        <v>43323</v>
      </c>
      <c r="C887" t="s">
        <v>92</v>
      </c>
      <c r="D887" s="40">
        <v>1130</v>
      </c>
    </row>
    <row r="888" spans="1:4" x14ac:dyDescent="0.25">
      <c r="A888">
        <v>183</v>
      </c>
      <c r="B888" s="5">
        <v>43283</v>
      </c>
      <c r="C888" t="s">
        <v>92</v>
      </c>
      <c r="D888" s="40">
        <v>1134</v>
      </c>
    </row>
    <row r="889" spans="1:4" x14ac:dyDescent="0.25">
      <c r="A889">
        <v>222</v>
      </c>
      <c r="B889" s="5">
        <v>43288</v>
      </c>
      <c r="C889" t="s">
        <v>92</v>
      </c>
      <c r="D889" s="40">
        <v>1167</v>
      </c>
    </row>
    <row r="890" spans="1:4" x14ac:dyDescent="0.25">
      <c r="A890">
        <v>298</v>
      </c>
      <c r="B890" s="5">
        <v>43300</v>
      </c>
      <c r="C890" t="s">
        <v>92</v>
      </c>
      <c r="D890" s="40">
        <v>1188</v>
      </c>
    </row>
    <row r="891" spans="1:4" x14ac:dyDescent="0.25">
      <c r="A891">
        <v>773</v>
      </c>
      <c r="B891" s="5">
        <v>43392</v>
      </c>
      <c r="C891" t="s">
        <v>92</v>
      </c>
      <c r="D891" s="40">
        <v>1356</v>
      </c>
    </row>
    <row r="892" spans="1:4" x14ac:dyDescent="0.25">
      <c r="A892">
        <v>757</v>
      </c>
      <c r="B892" s="5">
        <v>43389</v>
      </c>
      <c r="C892" t="s">
        <v>94</v>
      </c>
      <c r="D892" s="40">
        <v>1914</v>
      </c>
    </row>
    <row r="893" spans="1:4" x14ac:dyDescent="0.25">
      <c r="A893">
        <v>786</v>
      </c>
      <c r="B893" s="5">
        <v>43395</v>
      </c>
      <c r="C893" t="s">
        <v>94</v>
      </c>
      <c r="D893" s="40">
        <v>1004</v>
      </c>
    </row>
    <row r="894" spans="1:4" x14ac:dyDescent="0.25">
      <c r="A894">
        <v>237</v>
      </c>
      <c r="B894" s="5">
        <v>43291</v>
      </c>
      <c r="C894" t="s">
        <v>94</v>
      </c>
      <c r="D894" s="40">
        <v>1919</v>
      </c>
    </row>
    <row r="895" spans="1:4" x14ac:dyDescent="0.25">
      <c r="A895">
        <v>431</v>
      </c>
      <c r="B895" s="5">
        <v>43326</v>
      </c>
      <c r="C895" t="s">
        <v>93</v>
      </c>
      <c r="D895" s="40">
        <v>1021</v>
      </c>
    </row>
    <row r="896" spans="1:4" x14ac:dyDescent="0.25">
      <c r="A896">
        <v>168</v>
      </c>
      <c r="B896" s="5">
        <v>43279</v>
      </c>
      <c r="C896" t="s">
        <v>94</v>
      </c>
      <c r="D896" s="40">
        <v>559</v>
      </c>
    </row>
    <row r="897" spans="1:4" x14ac:dyDescent="0.25">
      <c r="A897">
        <v>135</v>
      </c>
      <c r="B897" s="5">
        <v>43273</v>
      </c>
      <c r="C897" t="s">
        <v>94</v>
      </c>
      <c r="D897" s="40">
        <v>669</v>
      </c>
    </row>
    <row r="898" spans="1:4" x14ac:dyDescent="0.25">
      <c r="A898">
        <v>606</v>
      </c>
      <c r="B898" s="5">
        <v>43357</v>
      </c>
      <c r="C898" t="s">
        <v>92</v>
      </c>
      <c r="D898" s="40">
        <v>1495</v>
      </c>
    </row>
    <row r="899" spans="1:4" x14ac:dyDescent="0.25">
      <c r="A899">
        <v>702</v>
      </c>
      <c r="B899" s="5">
        <v>43381</v>
      </c>
      <c r="C899" t="s">
        <v>92</v>
      </c>
      <c r="D899" s="40">
        <v>1921</v>
      </c>
    </row>
    <row r="900" spans="1:4" x14ac:dyDescent="0.25">
      <c r="A900">
        <v>617</v>
      </c>
      <c r="B900" s="5">
        <v>43362</v>
      </c>
      <c r="C900" t="s">
        <v>92</v>
      </c>
      <c r="D900" s="40">
        <v>1426</v>
      </c>
    </row>
    <row r="901" spans="1:4" x14ac:dyDescent="0.25">
      <c r="A901">
        <v>602</v>
      </c>
      <c r="B901" s="5">
        <v>43356</v>
      </c>
      <c r="C901" t="s">
        <v>92</v>
      </c>
      <c r="D901" s="40">
        <v>591</v>
      </c>
    </row>
    <row r="902" spans="1:4" x14ac:dyDescent="0.25">
      <c r="A902">
        <v>982</v>
      </c>
      <c r="B902" s="5">
        <v>43432</v>
      </c>
      <c r="C902" t="s">
        <v>92</v>
      </c>
      <c r="D902" s="40">
        <v>1827</v>
      </c>
    </row>
    <row r="903" spans="1:4" x14ac:dyDescent="0.25">
      <c r="A903">
        <v>416</v>
      </c>
      <c r="B903" s="5">
        <v>43323</v>
      </c>
      <c r="C903" t="s">
        <v>93</v>
      </c>
      <c r="D903" s="40">
        <v>863</v>
      </c>
    </row>
    <row r="904" spans="1:4" x14ac:dyDescent="0.25">
      <c r="A904">
        <v>833</v>
      </c>
      <c r="B904" s="5">
        <v>43407</v>
      </c>
      <c r="C904" t="s">
        <v>94</v>
      </c>
      <c r="D904" s="40">
        <v>636</v>
      </c>
    </row>
    <row r="905" spans="1:4" x14ac:dyDescent="0.25">
      <c r="A905">
        <v>120</v>
      </c>
      <c r="B905" s="5">
        <v>43271</v>
      </c>
      <c r="C905" t="s">
        <v>94</v>
      </c>
      <c r="D905" s="40">
        <v>1950</v>
      </c>
    </row>
    <row r="906" spans="1:4" x14ac:dyDescent="0.25">
      <c r="A906">
        <v>639</v>
      </c>
      <c r="B906" s="5">
        <v>43365</v>
      </c>
      <c r="C906" t="s">
        <v>92</v>
      </c>
      <c r="D906" s="40">
        <v>1109</v>
      </c>
    </row>
    <row r="907" spans="1:4" x14ac:dyDescent="0.25">
      <c r="A907">
        <v>525</v>
      </c>
      <c r="B907" s="5">
        <v>43344</v>
      </c>
      <c r="C907" t="s">
        <v>94</v>
      </c>
      <c r="D907" s="40">
        <v>954</v>
      </c>
    </row>
    <row r="908" spans="1:4" x14ac:dyDescent="0.25">
      <c r="A908">
        <v>137</v>
      </c>
      <c r="B908" s="5">
        <v>43273</v>
      </c>
      <c r="C908" t="s">
        <v>93</v>
      </c>
      <c r="D908" s="40">
        <v>1441</v>
      </c>
    </row>
    <row r="909" spans="1:4" x14ac:dyDescent="0.25">
      <c r="A909">
        <v>1</v>
      </c>
      <c r="B909" s="5">
        <v>43252</v>
      </c>
      <c r="C909" t="s">
        <v>94</v>
      </c>
      <c r="D909" s="40">
        <v>1597</v>
      </c>
    </row>
    <row r="910" spans="1:4" x14ac:dyDescent="0.25">
      <c r="A910">
        <v>226</v>
      </c>
      <c r="B910" s="5">
        <v>43289</v>
      </c>
      <c r="C910" t="s">
        <v>94</v>
      </c>
      <c r="D910" s="40">
        <v>639</v>
      </c>
    </row>
    <row r="911" spans="1:4" x14ac:dyDescent="0.25">
      <c r="A911">
        <v>846</v>
      </c>
      <c r="B911" s="5">
        <v>43409</v>
      </c>
      <c r="C911" t="s">
        <v>92</v>
      </c>
      <c r="D911" s="40">
        <v>584</v>
      </c>
    </row>
    <row r="912" spans="1:4" x14ac:dyDescent="0.25">
      <c r="A912">
        <v>802</v>
      </c>
      <c r="B912" s="5">
        <v>43398</v>
      </c>
      <c r="C912" t="s">
        <v>94</v>
      </c>
      <c r="D912" s="40">
        <v>1502</v>
      </c>
    </row>
    <row r="913" spans="1:4" x14ac:dyDescent="0.25">
      <c r="A913">
        <v>799</v>
      </c>
      <c r="B913" s="5">
        <v>43397</v>
      </c>
      <c r="C913" t="s">
        <v>92</v>
      </c>
      <c r="D913" s="40">
        <v>1959</v>
      </c>
    </row>
    <row r="914" spans="1:4" x14ac:dyDescent="0.25">
      <c r="A914">
        <v>514</v>
      </c>
      <c r="B914" s="5">
        <v>43340</v>
      </c>
      <c r="C914" t="s">
        <v>92</v>
      </c>
      <c r="D914" s="40">
        <v>809</v>
      </c>
    </row>
    <row r="915" spans="1:4" x14ac:dyDescent="0.25">
      <c r="A915">
        <v>473</v>
      </c>
      <c r="B915" s="5">
        <v>43333</v>
      </c>
      <c r="C915" t="s">
        <v>94</v>
      </c>
      <c r="D915" s="40">
        <v>1374</v>
      </c>
    </row>
    <row r="916" spans="1:4" x14ac:dyDescent="0.25">
      <c r="A916">
        <v>785</v>
      </c>
      <c r="B916" s="5">
        <v>43395</v>
      </c>
      <c r="C916" t="s">
        <v>94</v>
      </c>
      <c r="D916" s="40">
        <v>1041</v>
      </c>
    </row>
    <row r="917" spans="1:4" x14ac:dyDescent="0.25">
      <c r="A917">
        <v>436</v>
      </c>
      <c r="B917" s="5">
        <v>43327</v>
      </c>
      <c r="C917" t="s">
        <v>92</v>
      </c>
      <c r="D917" s="40">
        <v>1705</v>
      </c>
    </row>
    <row r="918" spans="1:4" x14ac:dyDescent="0.25">
      <c r="A918">
        <v>592</v>
      </c>
      <c r="B918" s="5">
        <v>43355</v>
      </c>
      <c r="C918" t="s">
        <v>94</v>
      </c>
      <c r="D918" s="40">
        <v>642</v>
      </c>
    </row>
    <row r="919" spans="1:4" x14ac:dyDescent="0.25">
      <c r="A919">
        <v>454</v>
      </c>
      <c r="B919" s="5">
        <v>43330</v>
      </c>
      <c r="C919" t="s">
        <v>93</v>
      </c>
      <c r="D919" s="40">
        <v>1822</v>
      </c>
    </row>
    <row r="920" spans="1:4" x14ac:dyDescent="0.25">
      <c r="A920">
        <v>941</v>
      </c>
      <c r="B920" s="5">
        <v>43424</v>
      </c>
      <c r="C920" t="s">
        <v>94</v>
      </c>
      <c r="D920" s="40">
        <v>1848</v>
      </c>
    </row>
    <row r="921" spans="1:4" x14ac:dyDescent="0.25">
      <c r="A921">
        <v>646</v>
      </c>
      <c r="B921" s="5">
        <v>43366</v>
      </c>
      <c r="C921" t="s">
        <v>93</v>
      </c>
      <c r="D921" s="40">
        <v>1064</v>
      </c>
    </row>
    <row r="922" spans="1:4" x14ac:dyDescent="0.25">
      <c r="A922">
        <v>526</v>
      </c>
      <c r="B922" s="5">
        <v>43344</v>
      </c>
      <c r="C922" t="s">
        <v>92</v>
      </c>
      <c r="D922" s="40">
        <v>1712</v>
      </c>
    </row>
    <row r="923" spans="1:4" x14ac:dyDescent="0.25">
      <c r="A923">
        <v>738</v>
      </c>
      <c r="B923" s="5">
        <v>43386</v>
      </c>
      <c r="C923" t="s">
        <v>93</v>
      </c>
      <c r="D923" s="40">
        <v>1029</v>
      </c>
    </row>
    <row r="924" spans="1:4" x14ac:dyDescent="0.25">
      <c r="A924">
        <v>962</v>
      </c>
      <c r="B924" s="5">
        <v>43428</v>
      </c>
      <c r="C924" t="s">
        <v>92</v>
      </c>
      <c r="D924" s="40">
        <v>877</v>
      </c>
    </row>
    <row r="925" spans="1:4" x14ac:dyDescent="0.25">
      <c r="A925">
        <v>970</v>
      </c>
      <c r="B925" s="5">
        <v>43430</v>
      </c>
      <c r="C925" t="s">
        <v>94</v>
      </c>
      <c r="D925" s="40">
        <v>1429</v>
      </c>
    </row>
    <row r="926" spans="1:4" x14ac:dyDescent="0.25">
      <c r="A926">
        <v>917</v>
      </c>
      <c r="B926" s="5">
        <v>43420</v>
      </c>
      <c r="C926" t="s">
        <v>93</v>
      </c>
      <c r="D926" s="40">
        <v>815</v>
      </c>
    </row>
    <row r="927" spans="1:4" x14ac:dyDescent="0.25">
      <c r="A927">
        <v>414</v>
      </c>
      <c r="B927" s="5">
        <v>43323</v>
      </c>
      <c r="C927" t="s">
        <v>94</v>
      </c>
      <c r="D927" s="40">
        <v>1002</v>
      </c>
    </row>
    <row r="928" spans="1:4" x14ac:dyDescent="0.25">
      <c r="A928">
        <v>923</v>
      </c>
      <c r="B928" s="5">
        <v>43421</v>
      </c>
      <c r="C928" t="s">
        <v>94</v>
      </c>
      <c r="D928" s="40">
        <v>1957</v>
      </c>
    </row>
    <row r="929" spans="1:4" x14ac:dyDescent="0.25">
      <c r="A929">
        <v>57</v>
      </c>
      <c r="B929" s="5">
        <v>43260</v>
      </c>
      <c r="C929" t="s">
        <v>92</v>
      </c>
      <c r="D929" s="40">
        <v>949</v>
      </c>
    </row>
    <row r="930" spans="1:4" x14ac:dyDescent="0.25">
      <c r="A930">
        <v>87</v>
      </c>
      <c r="B930" s="5">
        <v>43266</v>
      </c>
      <c r="C930" t="s">
        <v>92</v>
      </c>
      <c r="D930" s="40">
        <v>936</v>
      </c>
    </row>
    <row r="931" spans="1:4" x14ac:dyDescent="0.25">
      <c r="A931">
        <v>51</v>
      </c>
      <c r="B931" s="5">
        <v>43260</v>
      </c>
      <c r="C931" t="s">
        <v>93</v>
      </c>
      <c r="D931" s="40">
        <v>1533</v>
      </c>
    </row>
    <row r="932" spans="1:4" x14ac:dyDescent="0.25">
      <c r="A932">
        <v>90</v>
      </c>
      <c r="B932" s="5">
        <v>43266</v>
      </c>
      <c r="C932" t="s">
        <v>92</v>
      </c>
      <c r="D932" s="40">
        <v>684</v>
      </c>
    </row>
    <row r="933" spans="1:4" x14ac:dyDescent="0.25">
      <c r="A933">
        <v>53</v>
      </c>
      <c r="B933" s="5">
        <v>43260</v>
      </c>
      <c r="C933" t="s">
        <v>94</v>
      </c>
      <c r="D933" s="40">
        <v>677</v>
      </c>
    </row>
    <row r="934" spans="1:4" x14ac:dyDescent="0.25">
      <c r="A934">
        <v>979</v>
      </c>
      <c r="B934" s="5">
        <v>43432</v>
      </c>
      <c r="C934" t="s">
        <v>93</v>
      </c>
      <c r="D934" s="40">
        <v>1129</v>
      </c>
    </row>
    <row r="935" spans="1:4" x14ac:dyDescent="0.25">
      <c r="A935">
        <v>337</v>
      </c>
      <c r="B935" s="5">
        <v>43307</v>
      </c>
      <c r="C935" t="s">
        <v>92</v>
      </c>
      <c r="D935" s="40">
        <v>1658</v>
      </c>
    </row>
    <row r="936" spans="1:4" x14ac:dyDescent="0.25">
      <c r="A936">
        <v>675</v>
      </c>
      <c r="B936" s="5">
        <v>43373</v>
      </c>
      <c r="C936" t="s">
        <v>92</v>
      </c>
      <c r="D936" s="40">
        <v>1842</v>
      </c>
    </row>
    <row r="937" spans="1:4" x14ac:dyDescent="0.25">
      <c r="A937">
        <v>908</v>
      </c>
      <c r="B937" s="5">
        <v>43419</v>
      </c>
      <c r="C937" t="s">
        <v>92</v>
      </c>
      <c r="D937" s="40">
        <v>1964</v>
      </c>
    </row>
    <row r="938" spans="1:4" x14ac:dyDescent="0.25">
      <c r="A938">
        <v>698</v>
      </c>
      <c r="B938" s="5">
        <v>43379</v>
      </c>
      <c r="C938" t="s">
        <v>93</v>
      </c>
      <c r="D938" s="40">
        <v>1517</v>
      </c>
    </row>
    <row r="939" spans="1:4" x14ac:dyDescent="0.25">
      <c r="A939">
        <v>779</v>
      </c>
      <c r="B939" s="5">
        <v>43393</v>
      </c>
      <c r="C939" t="s">
        <v>93</v>
      </c>
      <c r="D939" s="40">
        <v>552</v>
      </c>
    </row>
    <row r="940" spans="1:4" x14ac:dyDescent="0.25">
      <c r="A940">
        <v>116</v>
      </c>
      <c r="B940" s="5">
        <v>43270</v>
      </c>
      <c r="C940" t="s">
        <v>92</v>
      </c>
      <c r="D940" s="40">
        <v>594</v>
      </c>
    </row>
    <row r="941" spans="1:4" x14ac:dyDescent="0.25">
      <c r="A941">
        <v>194</v>
      </c>
      <c r="B941" s="5">
        <v>43283</v>
      </c>
      <c r="C941" t="s">
        <v>92</v>
      </c>
      <c r="D941" s="40">
        <v>1353</v>
      </c>
    </row>
    <row r="942" spans="1:4" x14ac:dyDescent="0.25">
      <c r="A942">
        <v>170</v>
      </c>
      <c r="B942" s="5">
        <v>43279</v>
      </c>
      <c r="C942" t="s">
        <v>92</v>
      </c>
      <c r="D942" s="40">
        <v>1257</v>
      </c>
    </row>
    <row r="943" spans="1:4" x14ac:dyDescent="0.25">
      <c r="A943">
        <v>576</v>
      </c>
      <c r="B943" s="5">
        <v>43352</v>
      </c>
      <c r="C943" t="s">
        <v>94</v>
      </c>
      <c r="D943" s="40">
        <v>1579</v>
      </c>
    </row>
    <row r="944" spans="1:4" x14ac:dyDescent="0.25">
      <c r="A944">
        <v>774</v>
      </c>
      <c r="B944" s="5">
        <v>43393</v>
      </c>
      <c r="C944" t="s">
        <v>93</v>
      </c>
      <c r="D944" s="40">
        <v>511</v>
      </c>
    </row>
    <row r="945" spans="1:4" x14ac:dyDescent="0.25">
      <c r="A945">
        <v>483</v>
      </c>
      <c r="B945" s="5">
        <v>43334</v>
      </c>
      <c r="C945" t="s">
        <v>93</v>
      </c>
      <c r="D945" s="40">
        <v>1026</v>
      </c>
    </row>
    <row r="946" spans="1:4" x14ac:dyDescent="0.25">
      <c r="A946">
        <v>865</v>
      </c>
      <c r="B946" s="5">
        <v>43412</v>
      </c>
      <c r="C946" t="s">
        <v>93</v>
      </c>
      <c r="D946" s="40">
        <v>1784</v>
      </c>
    </row>
    <row r="947" spans="1:4" x14ac:dyDescent="0.25">
      <c r="A947">
        <v>558</v>
      </c>
      <c r="B947" s="5">
        <v>43348</v>
      </c>
      <c r="C947" t="s">
        <v>93</v>
      </c>
      <c r="D947" s="40">
        <v>842</v>
      </c>
    </row>
    <row r="948" spans="1:4" x14ac:dyDescent="0.25">
      <c r="A948">
        <v>93</v>
      </c>
      <c r="B948" s="5">
        <v>43267</v>
      </c>
      <c r="C948" t="s">
        <v>92</v>
      </c>
      <c r="D948" s="40">
        <v>582</v>
      </c>
    </row>
    <row r="949" spans="1:4" x14ac:dyDescent="0.25">
      <c r="A949">
        <v>81</v>
      </c>
      <c r="B949" s="5">
        <v>43265</v>
      </c>
      <c r="C949" t="s">
        <v>94</v>
      </c>
      <c r="D949" s="40">
        <v>1693</v>
      </c>
    </row>
    <row r="950" spans="1:4" x14ac:dyDescent="0.25">
      <c r="A950">
        <v>959</v>
      </c>
      <c r="B950" s="5">
        <v>43427</v>
      </c>
      <c r="C950" t="s">
        <v>92</v>
      </c>
      <c r="D950" s="40">
        <v>1895</v>
      </c>
    </row>
    <row r="951" spans="1:4" x14ac:dyDescent="0.25">
      <c r="A951">
        <v>513</v>
      </c>
      <c r="B951" s="5">
        <v>43340</v>
      </c>
      <c r="C951" t="s">
        <v>92</v>
      </c>
      <c r="D951" s="40">
        <v>1662</v>
      </c>
    </row>
    <row r="952" spans="1:4" x14ac:dyDescent="0.25">
      <c r="A952">
        <v>842</v>
      </c>
      <c r="B952" s="5">
        <v>43408</v>
      </c>
      <c r="C952" t="s">
        <v>92</v>
      </c>
      <c r="D952" s="40">
        <v>681</v>
      </c>
    </row>
    <row r="953" spans="1:4" x14ac:dyDescent="0.25">
      <c r="A953">
        <v>980</v>
      </c>
      <c r="B953" s="5">
        <v>43432</v>
      </c>
      <c r="C953" t="s">
        <v>92</v>
      </c>
      <c r="D953" s="40">
        <v>1976</v>
      </c>
    </row>
    <row r="954" spans="1:4" x14ac:dyDescent="0.25">
      <c r="A954">
        <v>383</v>
      </c>
      <c r="B954" s="5">
        <v>43316</v>
      </c>
      <c r="C954" t="s">
        <v>94</v>
      </c>
      <c r="D954" s="40">
        <v>654</v>
      </c>
    </row>
    <row r="955" spans="1:4" x14ac:dyDescent="0.25">
      <c r="A955">
        <v>593</v>
      </c>
      <c r="B955" s="5">
        <v>43356</v>
      </c>
      <c r="C955" t="s">
        <v>92</v>
      </c>
      <c r="D955" s="40">
        <v>1894</v>
      </c>
    </row>
    <row r="956" spans="1:4" x14ac:dyDescent="0.25">
      <c r="A956">
        <v>476</v>
      </c>
      <c r="B956" s="5">
        <v>43333</v>
      </c>
      <c r="C956" t="s">
        <v>94</v>
      </c>
      <c r="D956" s="40">
        <v>1846</v>
      </c>
    </row>
    <row r="957" spans="1:4" x14ac:dyDescent="0.25">
      <c r="A957">
        <v>98</v>
      </c>
      <c r="B957" s="5">
        <v>43268</v>
      </c>
      <c r="C957" t="s">
        <v>92</v>
      </c>
      <c r="D957" s="40">
        <v>1284</v>
      </c>
    </row>
    <row r="958" spans="1:4" x14ac:dyDescent="0.25">
      <c r="A958">
        <v>267</v>
      </c>
      <c r="B958" s="5">
        <v>43296</v>
      </c>
      <c r="C958" t="s">
        <v>93</v>
      </c>
      <c r="D958" s="40">
        <v>1048</v>
      </c>
    </row>
    <row r="959" spans="1:4" x14ac:dyDescent="0.25">
      <c r="A959">
        <v>261</v>
      </c>
      <c r="B959" s="5">
        <v>43295</v>
      </c>
      <c r="C959" t="s">
        <v>94</v>
      </c>
      <c r="D959" s="40">
        <v>565</v>
      </c>
    </row>
    <row r="960" spans="1:4" x14ac:dyDescent="0.25">
      <c r="A960">
        <v>790</v>
      </c>
      <c r="B960" s="5">
        <v>43396</v>
      </c>
      <c r="C960" t="s">
        <v>94</v>
      </c>
      <c r="D960" s="40">
        <v>1608</v>
      </c>
    </row>
    <row r="961" spans="1:4" x14ac:dyDescent="0.25">
      <c r="A961">
        <v>950</v>
      </c>
      <c r="B961" s="5">
        <v>43426</v>
      </c>
      <c r="C961" t="s">
        <v>94</v>
      </c>
      <c r="D961" s="40">
        <v>1227</v>
      </c>
    </row>
    <row r="962" spans="1:4" x14ac:dyDescent="0.25">
      <c r="A962">
        <v>347</v>
      </c>
      <c r="B962" s="5">
        <v>43310</v>
      </c>
      <c r="C962" t="s">
        <v>92</v>
      </c>
      <c r="D962" s="40">
        <v>1852</v>
      </c>
    </row>
    <row r="963" spans="1:4" x14ac:dyDescent="0.25">
      <c r="A963">
        <v>820</v>
      </c>
      <c r="B963" s="5">
        <v>43402</v>
      </c>
      <c r="C963" t="s">
        <v>92</v>
      </c>
      <c r="D963" s="40">
        <v>1831</v>
      </c>
    </row>
    <row r="964" spans="1:4" x14ac:dyDescent="0.25">
      <c r="A964">
        <v>986</v>
      </c>
      <c r="B964" s="5">
        <v>43432</v>
      </c>
      <c r="C964" t="s">
        <v>92</v>
      </c>
      <c r="D964" s="40">
        <v>661</v>
      </c>
    </row>
    <row r="965" spans="1:4" x14ac:dyDescent="0.25">
      <c r="A965">
        <v>740</v>
      </c>
      <c r="B965" s="5">
        <v>43386</v>
      </c>
      <c r="C965" t="s">
        <v>92</v>
      </c>
      <c r="D965" s="40">
        <v>1404</v>
      </c>
    </row>
    <row r="966" spans="1:4" x14ac:dyDescent="0.25">
      <c r="A966">
        <v>954</v>
      </c>
      <c r="B966" s="5">
        <v>43427</v>
      </c>
      <c r="C966" t="s">
        <v>93</v>
      </c>
      <c r="D966" s="40">
        <v>559</v>
      </c>
    </row>
    <row r="967" spans="1:4" x14ac:dyDescent="0.25">
      <c r="A967">
        <v>744</v>
      </c>
      <c r="B967" s="5">
        <v>43387</v>
      </c>
      <c r="C967" t="s">
        <v>92</v>
      </c>
      <c r="D967" s="40">
        <v>1276</v>
      </c>
    </row>
    <row r="968" spans="1:4" x14ac:dyDescent="0.25">
      <c r="A968">
        <v>353</v>
      </c>
      <c r="B968" s="5">
        <v>43311</v>
      </c>
      <c r="C968" t="s">
        <v>92</v>
      </c>
      <c r="D968" s="40">
        <v>809</v>
      </c>
    </row>
    <row r="969" spans="1:4" x14ac:dyDescent="0.25">
      <c r="A969">
        <v>363</v>
      </c>
      <c r="B969" s="5">
        <v>43312</v>
      </c>
      <c r="C969" t="s">
        <v>93</v>
      </c>
      <c r="D969" s="40">
        <v>1577</v>
      </c>
    </row>
    <row r="970" spans="1:4" x14ac:dyDescent="0.25">
      <c r="A970">
        <v>906</v>
      </c>
      <c r="B970" s="5">
        <v>43419</v>
      </c>
      <c r="C970" t="s">
        <v>92</v>
      </c>
      <c r="D970" s="40">
        <v>1454</v>
      </c>
    </row>
    <row r="971" spans="1:4" x14ac:dyDescent="0.25">
      <c r="A971">
        <v>479</v>
      </c>
      <c r="B971" s="5">
        <v>43334</v>
      </c>
      <c r="C971" t="s">
        <v>92</v>
      </c>
      <c r="D971" s="40">
        <v>1008</v>
      </c>
    </row>
    <row r="972" spans="1:4" x14ac:dyDescent="0.25">
      <c r="A972">
        <v>963</v>
      </c>
      <c r="B972" s="5">
        <v>43428</v>
      </c>
      <c r="C972" t="s">
        <v>92</v>
      </c>
      <c r="D972" s="40">
        <v>1907</v>
      </c>
    </row>
    <row r="973" spans="1:4" x14ac:dyDescent="0.25">
      <c r="A973">
        <v>654</v>
      </c>
      <c r="B973" s="5">
        <v>43368</v>
      </c>
      <c r="C973" t="s">
        <v>92</v>
      </c>
      <c r="D973" s="40">
        <v>1884</v>
      </c>
    </row>
    <row r="974" spans="1:4" x14ac:dyDescent="0.25">
      <c r="A974">
        <v>370</v>
      </c>
      <c r="B974" s="5">
        <v>43313</v>
      </c>
      <c r="C974" t="s">
        <v>93</v>
      </c>
      <c r="D974" s="40">
        <v>753</v>
      </c>
    </row>
    <row r="975" spans="1:4" x14ac:dyDescent="0.25">
      <c r="A975">
        <v>188</v>
      </c>
      <c r="B975" s="5">
        <v>43283</v>
      </c>
      <c r="C975" t="s">
        <v>92</v>
      </c>
      <c r="D975" s="40">
        <v>1279</v>
      </c>
    </row>
    <row r="976" spans="1:4" x14ac:dyDescent="0.25">
      <c r="A976">
        <v>837</v>
      </c>
      <c r="B976" s="5">
        <v>43407</v>
      </c>
      <c r="C976" t="s">
        <v>92</v>
      </c>
      <c r="D976" s="40">
        <v>701</v>
      </c>
    </row>
    <row r="977" spans="1:4" x14ac:dyDescent="0.25">
      <c r="A977">
        <v>351</v>
      </c>
      <c r="B977" s="5">
        <v>43311</v>
      </c>
      <c r="C977" t="s">
        <v>94</v>
      </c>
      <c r="D977" s="40">
        <v>1041</v>
      </c>
    </row>
    <row r="978" spans="1:4" x14ac:dyDescent="0.25">
      <c r="A978">
        <v>186</v>
      </c>
      <c r="B978" s="5">
        <v>43283</v>
      </c>
      <c r="C978" t="s">
        <v>94</v>
      </c>
      <c r="D978" s="40">
        <v>1144</v>
      </c>
    </row>
    <row r="979" spans="1:4" x14ac:dyDescent="0.25">
      <c r="A979">
        <v>882</v>
      </c>
      <c r="B979" s="5">
        <v>43415</v>
      </c>
      <c r="C979" t="s">
        <v>92</v>
      </c>
      <c r="D979" s="40">
        <v>1855</v>
      </c>
    </row>
    <row r="980" spans="1:4" x14ac:dyDescent="0.25">
      <c r="A980">
        <v>382</v>
      </c>
      <c r="B980" s="5">
        <v>43315</v>
      </c>
      <c r="C980" t="s">
        <v>92</v>
      </c>
      <c r="D980" s="40">
        <v>1412</v>
      </c>
    </row>
    <row r="981" spans="1:4" x14ac:dyDescent="0.25">
      <c r="A981">
        <v>650</v>
      </c>
      <c r="B981" s="5">
        <v>43367</v>
      </c>
      <c r="C981" t="s">
        <v>93</v>
      </c>
      <c r="D981" s="40">
        <v>996</v>
      </c>
    </row>
    <row r="982" spans="1:4" x14ac:dyDescent="0.25">
      <c r="A982">
        <v>634</v>
      </c>
      <c r="B982" s="5">
        <v>43365</v>
      </c>
      <c r="C982" t="s">
        <v>92</v>
      </c>
      <c r="D982" s="40">
        <v>1418</v>
      </c>
    </row>
    <row r="983" spans="1:4" x14ac:dyDescent="0.25">
      <c r="A983">
        <v>685</v>
      </c>
      <c r="B983" s="5">
        <v>43376</v>
      </c>
      <c r="C983" t="s">
        <v>94</v>
      </c>
      <c r="D983" s="40">
        <v>1530</v>
      </c>
    </row>
    <row r="984" spans="1:4" x14ac:dyDescent="0.25">
      <c r="A984">
        <v>690</v>
      </c>
      <c r="B984" s="5">
        <v>43378</v>
      </c>
      <c r="C984" t="s">
        <v>93</v>
      </c>
      <c r="D984" s="40">
        <v>779</v>
      </c>
    </row>
    <row r="985" spans="1:4" x14ac:dyDescent="0.25">
      <c r="A985">
        <v>432</v>
      </c>
      <c r="B985" s="5">
        <v>43326</v>
      </c>
      <c r="C985" t="s">
        <v>93</v>
      </c>
      <c r="D985" s="40">
        <v>678</v>
      </c>
    </row>
    <row r="986" spans="1:4" x14ac:dyDescent="0.25">
      <c r="A986">
        <v>97</v>
      </c>
      <c r="B986" s="5">
        <v>43267</v>
      </c>
      <c r="C986" t="s">
        <v>92</v>
      </c>
      <c r="D986" s="40">
        <v>955</v>
      </c>
    </row>
    <row r="987" spans="1:4" x14ac:dyDescent="0.25">
      <c r="A987">
        <v>336</v>
      </c>
      <c r="B987" s="5">
        <v>43307</v>
      </c>
      <c r="C987" t="s">
        <v>93</v>
      </c>
      <c r="D987" s="40">
        <v>1327</v>
      </c>
    </row>
    <row r="988" spans="1:4" x14ac:dyDescent="0.25">
      <c r="A988">
        <v>275</v>
      </c>
      <c r="B988" s="5">
        <v>43296</v>
      </c>
      <c r="C988" t="s">
        <v>92</v>
      </c>
      <c r="D988" s="40">
        <v>954</v>
      </c>
    </row>
    <row r="989" spans="1:4" x14ac:dyDescent="0.25">
      <c r="A989">
        <v>390</v>
      </c>
      <c r="B989" s="5">
        <v>43317</v>
      </c>
      <c r="C989" t="s">
        <v>93</v>
      </c>
      <c r="D989" s="40">
        <v>1762</v>
      </c>
    </row>
    <row r="990" spans="1:4" x14ac:dyDescent="0.25">
      <c r="A990">
        <v>196</v>
      </c>
      <c r="B990" s="5">
        <v>43284</v>
      </c>
      <c r="C990" t="s">
        <v>92</v>
      </c>
      <c r="D990" s="40">
        <v>1219</v>
      </c>
    </row>
    <row r="991" spans="1:4" x14ac:dyDescent="0.25">
      <c r="A991">
        <v>928</v>
      </c>
      <c r="B991" s="5">
        <v>43422</v>
      </c>
      <c r="C991" t="s">
        <v>92</v>
      </c>
      <c r="D991" s="40">
        <v>1917</v>
      </c>
    </row>
    <row r="992" spans="1:4" x14ac:dyDescent="0.25">
      <c r="A992">
        <v>308</v>
      </c>
      <c r="B992" s="5">
        <v>43302</v>
      </c>
      <c r="C992" t="s">
        <v>93</v>
      </c>
      <c r="D992" s="40">
        <v>1701</v>
      </c>
    </row>
    <row r="993" spans="1:4" x14ac:dyDescent="0.25">
      <c r="A993">
        <v>192</v>
      </c>
      <c r="B993" s="5">
        <v>43283</v>
      </c>
      <c r="C993" t="s">
        <v>93</v>
      </c>
      <c r="D993" s="40">
        <v>1312</v>
      </c>
    </row>
    <row r="994" spans="1:4" x14ac:dyDescent="0.25">
      <c r="A994">
        <v>566</v>
      </c>
      <c r="B994" s="5">
        <v>43349</v>
      </c>
      <c r="C994" t="s">
        <v>93</v>
      </c>
      <c r="D994" s="40">
        <v>1461</v>
      </c>
    </row>
    <row r="995" spans="1:4" x14ac:dyDescent="0.25">
      <c r="A995">
        <v>402</v>
      </c>
      <c r="B995" s="5">
        <v>43320</v>
      </c>
      <c r="C995" t="s">
        <v>94</v>
      </c>
      <c r="D995" s="40">
        <v>738</v>
      </c>
    </row>
    <row r="996" spans="1:4" x14ac:dyDescent="0.25">
      <c r="A996">
        <v>565</v>
      </c>
      <c r="B996" s="5">
        <v>43349</v>
      </c>
      <c r="C996" t="s">
        <v>93</v>
      </c>
      <c r="D996" s="40">
        <v>1201</v>
      </c>
    </row>
    <row r="997" spans="1:4" x14ac:dyDescent="0.25">
      <c r="A997">
        <v>112</v>
      </c>
      <c r="B997" s="5">
        <v>43269</v>
      </c>
      <c r="C997" t="s">
        <v>93</v>
      </c>
      <c r="D997" s="40">
        <v>1101</v>
      </c>
    </row>
    <row r="998" spans="1:4" x14ac:dyDescent="0.25">
      <c r="A998">
        <v>577</v>
      </c>
      <c r="B998" s="5">
        <v>43352</v>
      </c>
      <c r="C998" t="s">
        <v>93</v>
      </c>
      <c r="D998" s="40">
        <v>937</v>
      </c>
    </row>
    <row r="999" spans="1:4" x14ac:dyDescent="0.25">
      <c r="A999">
        <v>892</v>
      </c>
      <c r="B999" s="5">
        <v>43416</v>
      </c>
      <c r="C999" t="s">
        <v>92</v>
      </c>
      <c r="D999" s="40">
        <v>1266</v>
      </c>
    </row>
    <row r="1000" spans="1:4" x14ac:dyDescent="0.25">
      <c r="A1000">
        <v>49</v>
      </c>
      <c r="B1000" s="5">
        <v>43259</v>
      </c>
      <c r="C1000" t="s">
        <v>92</v>
      </c>
      <c r="D1000" s="40">
        <v>645</v>
      </c>
    </row>
    <row r="1001" spans="1:4" x14ac:dyDescent="0.25">
      <c r="A1001">
        <v>965</v>
      </c>
      <c r="B1001" s="5">
        <v>43428</v>
      </c>
      <c r="C1001" t="s">
        <v>94</v>
      </c>
      <c r="D1001" s="40">
        <v>1170</v>
      </c>
    </row>
    <row r="1002" spans="1:4" x14ac:dyDescent="0.25">
      <c r="A1002">
        <v>710</v>
      </c>
      <c r="B1002" s="5">
        <v>43382</v>
      </c>
      <c r="C1002" t="s">
        <v>92</v>
      </c>
      <c r="D1002" s="40">
        <v>1526</v>
      </c>
    </row>
    <row r="1003" spans="1:4" x14ac:dyDescent="0.25">
      <c r="A1003">
        <v>640</v>
      </c>
      <c r="B1003" s="5">
        <v>43365</v>
      </c>
      <c r="C1003" t="s">
        <v>94</v>
      </c>
      <c r="D1003" s="40">
        <v>598</v>
      </c>
    </row>
    <row r="1004" spans="1:4" x14ac:dyDescent="0.25">
      <c r="A1004">
        <v>22</v>
      </c>
      <c r="B1004" s="5">
        <v>43255</v>
      </c>
      <c r="C1004" t="s">
        <v>93</v>
      </c>
      <c r="D1004" s="40">
        <v>1702</v>
      </c>
    </row>
    <row r="1005" spans="1:4" x14ac:dyDescent="0.25">
      <c r="A1005">
        <v>31</v>
      </c>
      <c r="B1005" s="5">
        <v>43256</v>
      </c>
      <c r="C1005" t="s">
        <v>93</v>
      </c>
      <c r="D1005" s="40">
        <v>1748</v>
      </c>
    </row>
    <row r="1006" spans="1:4" x14ac:dyDescent="0.25">
      <c r="A1006">
        <v>817</v>
      </c>
      <c r="B1006" s="5">
        <v>43402</v>
      </c>
      <c r="C1006" t="s">
        <v>92</v>
      </c>
      <c r="D1006" s="40">
        <v>1212</v>
      </c>
    </row>
  </sheetData>
  <autoFilter ref="A6:I6" xr:uid="{A085F4BA-6144-43DA-ABC8-1F0DEC1AC05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F0493-C5E5-4132-A208-B1E6CFA22262}">
  <dimension ref="A2:I1006"/>
  <sheetViews>
    <sheetView topLeftCell="A2" workbookViewId="0">
      <selection activeCell="D37" sqref="D37"/>
    </sheetView>
  </sheetViews>
  <sheetFormatPr defaultColWidth="8.85546875" defaultRowHeight="15" x14ac:dyDescent="0.25"/>
  <cols>
    <col min="2" max="2" width="10.28515625" bestFit="1" customWidth="1"/>
    <col min="4" max="4" width="12.42578125" bestFit="1" customWidth="1"/>
    <col min="6" max="7" width="10.42578125" bestFit="1" customWidth="1"/>
  </cols>
  <sheetData>
    <row r="2" spans="1:9" x14ac:dyDescent="0.25">
      <c r="B2" t="s">
        <v>101</v>
      </c>
      <c r="C2" t="s">
        <v>100</v>
      </c>
    </row>
    <row r="4" spans="1:9" x14ac:dyDescent="0.25">
      <c r="F4" s="5">
        <v>43343</v>
      </c>
    </row>
    <row r="5" spans="1:9" x14ac:dyDescent="0.25">
      <c r="F5" s="5">
        <v>43282</v>
      </c>
    </row>
    <row r="6" spans="1:9" x14ac:dyDescent="0.25">
      <c r="A6" s="42" t="s">
        <v>97</v>
      </c>
      <c r="B6" s="42" t="s">
        <v>51</v>
      </c>
      <c r="C6" s="42" t="s">
        <v>96</v>
      </c>
      <c r="D6" s="42" t="s">
        <v>95</v>
      </c>
      <c r="F6" s="42" t="s">
        <v>97</v>
      </c>
      <c r="G6" s="42" t="s">
        <v>51</v>
      </c>
      <c r="H6" s="42" t="s">
        <v>96</v>
      </c>
      <c r="I6" s="42" t="s">
        <v>95</v>
      </c>
    </row>
    <row r="7" spans="1:9" x14ac:dyDescent="0.25">
      <c r="A7">
        <v>142</v>
      </c>
      <c r="B7" s="5">
        <v>43274</v>
      </c>
      <c r="C7" t="s">
        <v>94</v>
      </c>
      <c r="D7" s="40">
        <v>1998</v>
      </c>
      <c r="F7" cm="1">
        <f t="array" ref="F7:F824">_xlfn._xlws.FILTER(_xlfn.CHOOSECOLS($A$7:$D$1006,MATCH(F$6,$A$6:$D$6,0)),($B$7:$B$1006&lt;$F$6)*($B$7:$B$1006&gt;$F$5),"Empty")</f>
        <v>285</v>
      </c>
      <c r="G7" s="41" cm="1">
        <f t="array" ref="G7:G824">_xlfn._xlws.FILTER(_xlfn.CHOOSECOLS($A$7:$D$1006,MATCH(G$6,$A$6:$D$6,0)),($B$7:$B$1006&lt;$F$6)*($B$7:$B$1006&gt;$F$5),"Empty")</f>
        <v>43298</v>
      </c>
      <c r="H7" t="str" cm="1">
        <f t="array" ref="H7:H824">_xlfn._xlws.FILTER(_xlfn.CHOOSECOLS($A$7:$D$1006,MATCH(H$6,$A$6:$D$6,0)),($B$7:$B$1006&lt;$F$6)*($B$7:$B$1006&gt;$F$5),"Empty")</f>
        <v>CA</v>
      </c>
      <c r="I7" cm="1">
        <f t="array" ref="I7:I824">_xlfn._xlws.FILTER(_xlfn.CHOOSECOLS($A$7:$D$1006,MATCH(I$6,$A$6:$D$6,0)),($B$7:$B$1006&lt;$F$6)*($B$7:$B$1006&gt;$F$5),"Empty")</f>
        <v>1046</v>
      </c>
    </row>
    <row r="8" spans="1:9" x14ac:dyDescent="0.25">
      <c r="A8">
        <v>285</v>
      </c>
      <c r="B8" s="5">
        <v>43298</v>
      </c>
      <c r="C8" t="s">
        <v>92</v>
      </c>
      <c r="D8" s="40">
        <v>1046</v>
      </c>
      <c r="F8">
        <v>797</v>
      </c>
      <c r="G8" s="41">
        <v>43397</v>
      </c>
      <c r="H8" t="str">
        <v>NY</v>
      </c>
      <c r="I8">
        <v>1829</v>
      </c>
    </row>
    <row r="9" spans="1:9" x14ac:dyDescent="0.25">
      <c r="A9">
        <v>797</v>
      </c>
      <c r="B9" s="5">
        <v>43397</v>
      </c>
      <c r="C9" t="s">
        <v>93</v>
      </c>
      <c r="D9" s="40">
        <v>1829</v>
      </c>
      <c r="F9">
        <v>571</v>
      </c>
      <c r="G9" s="41">
        <v>43350</v>
      </c>
      <c r="H9" t="str">
        <v>NY</v>
      </c>
      <c r="I9">
        <v>1260</v>
      </c>
    </row>
    <row r="10" spans="1:9" x14ac:dyDescent="0.25">
      <c r="A10">
        <v>109</v>
      </c>
      <c r="B10" s="5">
        <v>43269</v>
      </c>
      <c r="C10" t="s">
        <v>92</v>
      </c>
      <c r="D10" s="40">
        <v>1054</v>
      </c>
      <c r="F10">
        <v>751</v>
      </c>
      <c r="G10" s="41">
        <v>43388</v>
      </c>
      <c r="H10" t="str">
        <v>NY</v>
      </c>
      <c r="I10">
        <v>1246</v>
      </c>
    </row>
    <row r="11" spans="1:9" x14ac:dyDescent="0.25">
      <c r="A11">
        <v>571</v>
      </c>
      <c r="B11" s="5">
        <v>43350</v>
      </c>
      <c r="C11" t="s">
        <v>93</v>
      </c>
      <c r="D11" s="40">
        <v>1260</v>
      </c>
      <c r="F11">
        <v>224</v>
      </c>
      <c r="G11" s="41">
        <v>43288</v>
      </c>
      <c r="H11" t="str">
        <v>CA</v>
      </c>
      <c r="I11">
        <v>1315</v>
      </c>
    </row>
    <row r="12" spans="1:9" x14ac:dyDescent="0.25">
      <c r="A12">
        <v>751</v>
      </c>
      <c r="B12" s="5">
        <v>43388</v>
      </c>
      <c r="C12" t="s">
        <v>93</v>
      </c>
      <c r="D12" s="40">
        <v>1246</v>
      </c>
      <c r="F12">
        <v>323</v>
      </c>
      <c r="G12" s="41">
        <v>43305</v>
      </c>
      <c r="H12" t="str">
        <v>TX</v>
      </c>
      <c r="I12">
        <v>535</v>
      </c>
    </row>
    <row r="13" spans="1:9" x14ac:dyDescent="0.25">
      <c r="A13">
        <v>224</v>
      </c>
      <c r="B13" s="5">
        <v>43288</v>
      </c>
      <c r="C13" t="s">
        <v>92</v>
      </c>
      <c r="D13" s="40">
        <v>1315</v>
      </c>
      <c r="F13">
        <v>950</v>
      </c>
      <c r="G13" s="41">
        <v>43426</v>
      </c>
      <c r="H13" t="str">
        <v>TX</v>
      </c>
      <c r="I13">
        <v>1227</v>
      </c>
    </row>
    <row r="14" spans="1:9" x14ac:dyDescent="0.25">
      <c r="A14">
        <v>323</v>
      </c>
      <c r="B14" s="5">
        <v>43305</v>
      </c>
      <c r="C14" t="s">
        <v>94</v>
      </c>
      <c r="D14" s="40">
        <v>535</v>
      </c>
      <c r="F14">
        <v>207</v>
      </c>
      <c r="G14" s="41">
        <v>43286</v>
      </c>
      <c r="H14" t="str">
        <v>CA</v>
      </c>
      <c r="I14">
        <v>773</v>
      </c>
    </row>
    <row r="15" spans="1:9" x14ac:dyDescent="0.25">
      <c r="A15">
        <v>950</v>
      </c>
      <c r="B15" s="5">
        <v>43426</v>
      </c>
      <c r="C15" t="s">
        <v>94</v>
      </c>
      <c r="D15" s="40">
        <v>1227</v>
      </c>
      <c r="F15">
        <v>494</v>
      </c>
      <c r="G15" s="41">
        <v>43337</v>
      </c>
      <c r="H15" t="str">
        <v>TX</v>
      </c>
      <c r="I15">
        <v>1219</v>
      </c>
    </row>
    <row r="16" spans="1:9" x14ac:dyDescent="0.25">
      <c r="A16">
        <v>207</v>
      </c>
      <c r="B16" s="5">
        <v>43286</v>
      </c>
      <c r="C16" t="s">
        <v>92</v>
      </c>
      <c r="D16" s="40">
        <v>773</v>
      </c>
      <c r="F16">
        <v>669</v>
      </c>
      <c r="G16" s="41">
        <v>43370</v>
      </c>
      <c r="H16" t="str">
        <v>TX</v>
      </c>
      <c r="I16">
        <v>555</v>
      </c>
    </row>
    <row r="17" spans="1:9" x14ac:dyDescent="0.25">
      <c r="A17">
        <v>494</v>
      </c>
      <c r="B17" s="5">
        <v>43337</v>
      </c>
      <c r="C17" t="s">
        <v>94</v>
      </c>
      <c r="D17" s="40">
        <v>1219</v>
      </c>
      <c r="F17">
        <v>586</v>
      </c>
      <c r="G17" s="41">
        <v>43355</v>
      </c>
      <c r="H17" t="str">
        <v>NY</v>
      </c>
      <c r="I17">
        <v>1687</v>
      </c>
    </row>
    <row r="18" spans="1:9" x14ac:dyDescent="0.25">
      <c r="A18">
        <v>94</v>
      </c>
      <c r="B18" s="5">
        <v>43267</v>
      </c>
      <c r="C18" t="s">
        <v>94</v>
      </c>
      <c r="D18" s="40">
        <v>1645</v>
      </c>
      <c r="F18">
        <v>650</v>
      </c>
      <c r="G18" s="41">
        <v>43367</v>
      </c>
      <c r="H18" t="str">
        <v>NY</v>
      </c>
      <c r="I18">
        <v>996</v>
      </c>
    </row>
    <row r="19" spans="1:9" x14ac:dyDescent="0.25">
      <c r="A19">
        <v>669</v>
      </c>
      <c r="B19" s="5">
        <v>43370</v>
      </c>
      <c r="C19" t="s">
        <v>94</v>
      </c>
      <c r="D19" s="40">
        <v>555</v>
      </c>
      <c r="F19">
        <v>417</v>
      </c>
      <c r="G19" s="41">
        <v>43323</v>
      </c>
      <c r="H19" t="str">
        <v>CA</v>
      </c>
      <c r="I19">
        <v>953</v>
      </c>
    </row>
    <row r="20" spans="1:9" x14ac:dyDescent="0.25">
      <c r="A20">
        <v>586</v>
      </c>
      <c r="B20" s="5">
        <v>43355</v>
      </c>
      <c r="C20" t="s">
        <v>93</v>
      </c>
      <c r="D20" s="40">
        <v>1687</v>
      </c>
      <c r="F20">
        <v>334</v>
      </c>
      <c r="G20" s="41">
        <v>43307</v>
      </c>
      <c r="H20" t="str">
        <v>CA</v>
      </c>
      <c r="I20">
        <v>774</v>
      </c>
    </row>
    <row r="21" spans="1:9" x14ac:dyDescent="0.25">
      <c r="A21">
        <v>650</v>
      </c>
      <c r="B21" s="5">
        <v>43367</v>
      </c>
      <c r="C21" t="s">
        <v>93</v>
      </c>
      <c r="D21" s="40">
        <v>996</v>
      </c>
      <c r="F21">
        <v>633</v>
      </c>
      <c r="G21" s="41">
        <v>43365</v>
      </c>
      <c r="H21" t="str">
        <v>NY</v>
      </c>
      <c r="I21">
        <v>882</v>
      </c>
    </row>
    <row r="22" spans="1:9" x14ac:dyDescent="0.25">
      <c r="A22">
        <v>417</v>
      </c>
      <c r="B22" s="5">
        <v>43323</v>
      </c>
      <c r="C22" t="s">
        <v>92</v>
      </c>
      <c r="D22" s="40">
        <v>953</v>
      </c>
      <c r="F22">
        <v>286</v>
      </c>
      <c r="G22" s="41">
        <v>43298</v>
      </c>
      <c r="H22" t="str">
        <v>TX</v>
      </c>
      <c r="I22">
        <v>1455</v>
      </c>
    </row>
    <row r="23" spans="1:9" x14ac:dyDescent="0.25">
      <c r="A23">
        <v>334</v>
      </c>
      <c r="B23" s="5">
        <v>43307</v>
      </c>
      <c r="C23" t="s">
        <v>92</v>
      </c>
      <c r="D23" s="40">
        <v>774</v>
      </c>
      <c r="F23">
        <v>647</v>
      </c>
      <c r="G23" s="41">
        <v>43366</v>
      </c>
      <c r="H23" t="str">
        <v>CA</v>
      </c>
      <c r="I23">
        <v>521</v>
      </c>
    </row>
    <row r="24" spans="1:9" x14ac:dyDescent="0.25">
      <c r="A24">
        <v>633</v>
      </c>
      <c r="B24" s="5">
        <v>43365</v>
      </c>
      <c r="C24" t="s">
        <v>93</v>
      </c>
      <c r="D24" s="40">
        <v>882</v>
      </c>
      <c r="F24">
        <v>393</v>
      </c>
      <c r="G24" s="41">
        <v>43318</v>
      </c>
      <c r="H24" t="str">
        <v>NY</v>
      </c>
      <c r="I24">
        <v>1238</v>
      </c>
    </row>
    <row r="25" spans="1:9" x14ac:dyDescent="0.25">
      <c r="A25">
        <v>286</v>
      </c>
      <c r="B25" s="5">
        <v>43298</v>
      </c>
      <c r="C25" t="s">
        <v>94</v>
      </c>
      <c r="D25" s="40">
        <v>1455</v>
      </c>
      <c r="F25">
        <v>351</v>
      </c>
      <c r="G25" s="41">
        <v>43311</v>
      </c>
      <c r="H25" t="str">
        <v>TX</v>
      </c>
      <c r="I25">
        <v>1041</v>
      </c>
    </row>
    <row r="26" spans="1:9" x14ac:dyDescent="0.25">
      <c r="A26">
        <v>647</v>
      </c>
      <c r="B26" s="5">
        <v>43366</v>
      </c>
      <c r="C26" t="s">
        <v>92</v>
      </c>
      <c r="D26" s="40">
        <v>521</v>
      </c>
      <c r="F26">
        <v>347</v>
      </c>
      <c r="G26" s="41">
        <v>43310</v>
      </c>
      <c r="H26" t="str">
        <v>CA</v>
      </c>
      <c r="I26">
        <v>1852</v>
      </c>
    </row>
    <row r="27" spans="1:9" x14ac:dyDescent="0.25">
      <c r="A27">
        <v>393</v>
      </c>
      <c r="B27" s="5">
        <v>43318</v>
      </c>
      <c r="C27" t="s">
        <v>93</v>
      </c>
      <c r="D27" s="40">
        <v>1238</v>
      </c>
      <c r="F27">
        <v>335</v>
      </c>
      <c r="G27" s="41">
        <v>43307</v>
      </c>
      <c r="H27" t="str">
        <v>NY</v>
      </c>
      <c r="I27">
        <v>1463</v>
      </c>
    </row>
    <row r="28" spans="1:9" x14ac:dyDescent="0.25">
      <c r="A28">
        <v>351</v>
      </c>
      <c r="B28" s="5">
        <v>43311</v>
      </c>
      <c r="C28" t="s">
        <v>94</v>
      </c>
      <c r="D28" s="40">
        <v>1041</v>
      </c>
      <c r="F28">
        <v>921</v>
      </c>
      <c r="G28" s="41">
        <v>43420</v>
      </c>
      <c r="H28" t="str">
        <v>TX</v>
      </c>
      <c r="I28">
        <v>1273</v>
      </c>
    </row>
    <row r="29" spans="1:9" x14ac:dyDescent="0.25">
      <c r="A29">
        <v>347</v>
      </c>
      <c r="B29" s="5">
        <v>43310</v>
      </c>
      <c r="C29" t="s">
        <v>92</v>
      </c>
      <c r="D29" s="40">
        <v>1852</v>
      </c>
      <c r="F29">
        <v>319</v>
      </c>
      <c r="G29" s="41">
        <v>43304</v>
      </c>
      <c r="H29" t="str">
        <v>CA</v>
      </c>
      <c r="I29">
        <v>737</v>
      </c>
    </row>
    <row r="30" spans="1:9" x14ac:dyDescent="0.25">
      <c r="A30">
        <v>335</v>
      </c>
      <c r="B30" s="5">
        <v>43307</v>
      </c>
      <c r="C30" t="s">
        <v>93</v>
      </c>
      <c r="D30" s="40">
        <v>1463</v>
      </c>
      <c r="F30">
        <v>596</v>
      </c>
      <c r="G30" s="41">
        <v>43356</v>
      </c>
      <c r="H30" t="str">
        <v>CA</v>
      </c>
      <c r="I30">
        <v>1330</v>
      </c>
    </row>
    <row r="31" spans="1:9" x14ac:dyDescent="0.25">
      <c r="A31">
        <v>921</v>
      </c>
      <c r="B31" s="5">
        <v>43420</v>
      </c>
      <c r="C31" t="s">
        <v>94</v>
      </c>
      <c r="D31" s="40">
        <v>1273</v>
      </c>
      <c r="F31">
        <v>903</v>
      </c>
      <c r="G31" s="41">
        <v>43418</v>
      </c>
      <c r="H31" t="str">
        <v>NY</v>
      </c>
      <c r="I31">
        <v>840</v>
      </c>
    </row>
    <row r="32" spans="1:9" x14ac:dyDescent="0.25">
      <c r="A32">
        <v>56</v>
      </c>
      <c r="B32" s="5">
        <v>43260</v>
      </c>
      <c r="C32" t="s">
        <v>93</v>
      </c>
      <c r="D32" s="40">
        <v>1303</v>
      </c>
      <c r="F32">
        <v>638</v>
      </c>
      <c r="G32" s="41">
        <v>43365</v>
      </c>
      <c r="H32" t="str">
        <v>CA</v>
      </c>
      <c r="I32">
        <v>1700</v>
      </c>
    </row>
    <row r="33" spans="1:9" x14ac:dyDescent="0.25">
      <c r="A33">
        <v>319</v>
      </c>
      <c r="B33" s="5">
        <v>43304</v>
      </c>
      <c r="C33" t="s">
        <v>92</v>
      </c>
      <c r="D33" s="40">
        <v>737</v>
      </c>
      <c r="F33">
        <v>333</v>
      </c>
      <c r="G33" s="41">
        <v>43306</v>
      </c>
      <c r="H33" t="str">
        <v>TX</v>
      </c>
      <c r="I33">
        <v>732</v>
      </c>
    </row>
    <row r="34" spans="1:9" x14ac:dyDescent="0.25">
      <c r="A34">
        <v>596</v>
      </c>
      <c r="B34" s="5">
        <v>43356</v>
      </c>
      <c r="C34" t="s">
        <v>92</v>
      </c>
      <c r="D34" s="40">
        <v>1330</v>
      </c>
      <c r="F34">
        <v>800</v>
      </c>
      <c r="G34" s="41">
        <v>43398</v>
      </c>
      <c r="H34" t="str">
        <v>NY</v>
      </c>
      <c r="I34">
        <v>1562</v>
      </c>
    </row>
    <row r="35" spans="1:9" x14ac:dyDescent="0.25">
      <c r="A35">
        <v>70</v>
      </c>
      <c r="B35" s="5">
        <v>43263</v>
      </c>
      <c r="C35" t="s">
        <v>93</v>
      </c>
      <c r="D35" s="40">
        <v>1688</v>
      </c>
      <c r="F35">
        <v>298</v>
      </c>
      <c r="G35" s="41">
        <v>43300</v>
      </c>
      <c r="H35" t="str">
        <v>CA</v>
      </c>
      <c r="I35">
        <v>1188</v>
      </c>
    </row>
    <row r="36" spans="1:9" x14ac:dyDescent="0.25">
      <c r="A36">
        <v>903</v>
      </c>
      <c r="B36" s="5">
        <v>43418</v>
      </c>
      <c r="C36" t="s">
        <v>93</v>
      </c>
      <c r="D36" s="40">
        <v>840</v>
      </c>
      <c r="F36">
        <v>772</v>
      </c>
      <c r="G36" s="41">
        <v>43392</v>
      </c>
      <c r="H36" t="str">
        <v>NY</v>
      </c>
      <c r="I36">
        <v>1026</v>
      </c>
    </row>
    <row r="37" spans="1:9" x14ac:dyDescent="0.25">
      <c r="A37">
        <v>638</v>
      </c>
      <c r="B37" s="5">
        <v>43365</v>
      </c>
      <c r="C37" t="s">
        <v>92</v>
      </c>
      <c r="D37" s="40">
        <v>1700</v>
      </c>
      <c r="F37">
        <v>929</v>
      </c>
      <c r="G37" s="41">
        <v>43422</v>
      </c>
      <c r="H37" t="str">
        <v>NY</v>
      </c>
      <c r="I37">
        <v>1101</v>
      </c>
    </row>
    <row r="38" spans="1:9" x14ac:dyDescent="0.25">
      <c r="A38">
        <v>333</v>
      </c>
      <c r="B38" s="5">
        <v>43306</v>
      </c>
      <c r="C38" t="s">
        <v>94</v>
      </c>
      <c r="D38" s="40">
        <v>732</v>
      </c>
      <c r="F38">
        <v>329</v>
      </c>
      <c r="G38" s="41">
        <v>43305</v>
      </c>
      <c r="H38" t="str">
        <v>CA</v>
      </c>
      <c r="I38">
        <v>1878</v>
      </c>
    </row>
    <row r="39" spans="1:9" x14ac:dyDescent="0.25">
      <c r="A39">
        <v>127</v>
      </c>
      <c r="B39" s="5">
        <v>43272</v>
      </c>
      <c r="C39" t="s">
        <v>93</v>
      </c>
      <c r="D39" s="40">
        <v>981</v>
      </c>
      <c r="F39">
        <v>216</v>
      </c>
      <c r="G39" s="41">
        <v>43287</v>
      </c>
      <c r="H39" t="str">
        <v>TX</v>
      </c>
      <c r="I39">
        <v>1415</v>
      </c>
    </row>
    <row r="40" spans="1:9" x14ac:dyDescent="0.25">
      <c r="A40">
        <v>800</v>
      </c>
      <c r="B40" s="5">
        <v>43398</v>
      </c>
      <c r="C40" t="s">
        <v>93</v>
      </c>
      <c r="D40" s="40">
        <v>1562</v>
      </c>
      <c r="F40">
        <v>588</v>
      </c>
      <c r="G40" s="41">
        <v>43355</v>
      </c>
      <c r="H40" t="str">
        <v>TX</v>
      </c>
      <c r="I40">
        <v>719</v>
      </c>
    </row>
    <row r="41" spans="1:9" x14ac:dyDescent="0.25">
      <c r="A41">
        <v>298</v>
      </c>
      <c r="B41" s="5">
        <v>43300</v>
      </c>
      <c r="C41" t="s">
        <v>92</v>
      </c>
      <c r="D41" s="40">
        <v>1188</v>
      </c>
      <c r="F41">
        <v>844</v>
      </c>
      <c r="G41" s="41">
        <v>43408</v>
      </c>
      <c r="H41" t="str">
        <v>TX</v>
      </c>
      <c r="I41">
        <v>1067</v>
      </c>
    </row>
    <row r="42" spans="1:9" x14ac:dyDescent="0.25">
      <c r="A42">
        <v>772</v>
      </c>
      <c r="B42" s="5">
        <v>43392</v>
      </c>
      <c r="C42" t="s">
        <v>93</v>
      </c>
      <c r="D42" s="40">
        <v>1026</v>
      </c>
      <c r="F42">
        <v>425</v>
      </c>
      <c r="G42" s="41">
        <v>43324</v>
      </c>
      <c r="H42" t="str">
        <v>CA</v>
      </c>
      <c r="I42">
        <v>684</v>
      </c>
    </row>
    <row r="43" spans="1:9" x14ac:dyDescent="0.25">
      <c r="A43">
        <v>116</v>
      </c>
      <c r="B43" s="5">
        <v>43270</v>
      </c>
      <c r="C43" t="s">
        <v>92</v>
      </c>
      <c r="D43" s="40">
        <v>594</v>
      </c>
      <c r="F43">
        <v>981</v>
      </c>
      <c r="G43" s="41">
        <v>43432</v>
      </c>
      <c r="H43" t="str">
        <v>TX</v>
      </c>
      <c r="I43">
        <v>1788</v>
      </c>
    </row>
    <row r="44" spans="1:9" x14ac:dyDescent="0.25">
      <c r="A44">
        <v>929</v>
      </c>
      <c r="B44" s="5">
        <v>43422</v>
      </c>
      <c r="C44" t="s">
        <v>93</v>
      </c>
      <c r="D44" s="40">
        <v>1101</v>
      </c>
      <c r="F44">
        <v>260</v>
      </c>
      <c r="G44" s="41">
        <v>43295</v>
      </c>
      <c r="H44" t="str">
        <v>TX</v>
      </c>
      <c r="I44">
        <v>815</v>
      </c>
    </row>
    <row r="45" spans="1:9" x14ac:dyDescent="0.25">
      <c r="A45">
        <v>329</v>
      </c>
      <c r="B45" s="5">
        <v>43305</v>
      </c>
      <c r="C45" t="s">
        <v>92</v>
      </c>
      <c r="D45" s="40">
        <v>1878</v>
      </c>
      <c r="F45">
        <v>576</v>
      </c>
      <c r="G45" s="41">
        <v>43352</v>
      </c>
      <c r="H45" t="str">
        <v>TX</v>
      </c>
      <c r="I45">
        <v>1579</v>
      </c>
    </row>
    <row r="46" spans="1:9" x14ac:dyDescent="0.25">
      <c r="A46">
        <v>134</v>
      </c>
      <c r="B46" s="5">
        <v>43273</v>
      </c>
      <c r="C46" t="s">
        <v>92</v>
      </c>
      <c r="D46" s="40">
        <v>1466</v>
      </c>
      <c r="F46">
        <v>985</v>
      </c>
      <c r="G46" s="41">
        <v>43432</v>
      </c>
      <c r="H46" t="str">
        <v>CA</v>
      </c>
      <c r="I46">
        <v>1188</v>
      </c>
    </row>
    <row r="47" spans="1:9" x14ac:dyDescent="0.25">
      <c r="A47">
        <v>216</v>
      </c>
      <c r="B47" s="5">
        <v>43287</v>
      </c>
      <c r="C47" t="s">
        <v>94</v>
      </c>
      <c r="D47" s="40">
        <v>1415</v>
      </c>
      <c r="F47">
        <v>662</v>
      </c>
      <c r="G47" s="41">
        <v>43369</v>
      </c>
      <c r="H47" t="str">
        <v>CA</v>
      </c>
      <c r="I47">
        <v>1004</v>
      </c>
    </row>
    <row r="48" spans="1:9" x14ac:dyDescent="0.25">
      <c r="A48">
        <v>588</v>
      </c>
      <c r="B48" s="5">
        <v>43355</v>
      </c>
      <c r="C48" t="s">
        <v>94</v>
      </c>
      <c r="D48" s="40">
        <v>719</v>
      </c>
      <c r="F48">
        <v>299</v>
      </c>
      <c r="G48" s="41">
        <v>43301</v>
      </c>
      <c r="H48" t="str">
        <v>TX</v>
      </c>
      <c r="I48">
        <v>544</v>
      </c>
    </row>
    <row r="49" spans="1:9" x14ac:dyDescent="0.25">
      <c r="A49">
        <v>844</v>
      </c>
      <c r="B49" s="5">
        <v>43408</v>
      </c>
      <c r="C49" t="s">
        <v>94</v>
      </c>
      <c r="D49" s="40">
        <v>1067</v>
      </c>
      <c r="F49">
        <v>986</v>
      </c>
      <c r="G49" s="41">
        <v>43432</v>
      </c>
      <c r="H49" t="str">
        <v>CA</v>
      </c>
      <c r="I49">
        <v>661</v>
      </c>
    </row>
    <row r="50" spans="1:9" x14ac:dyDescent="0.25">
      <c r="A50">
        <v>112</v>
      </c>
      <c r="B50" s="5">
        <v>43269</v>
      </c>
      <c r="C50" t="s">
        <v>93</v>
      </c>
      <c r="D50" s="40">
        <v>1101</v>
      </c>
      <c r="F50">
        <v>194</v>
      </c>
      <c r="G50" s="41">
        <v>43283</v>
      </c>
      <c r="H50" t="str">
        <v>CA</v>
      </c>
      <c r="I50">
        <v>1353</v>
      </c>
    </row>
    <row r="51" spans="1:9" x14ac:dyDescent="0.25">
      <c r="A51">
        <v>425</v>
      </c>
      <c r="B51" s="5">
        <v>43324</v>
      </c>
      <c r="C51" t="s">
        <v>92</v>
      </c>
      <c r="D51" s="40">
        <v>684</v>
      </c>
      <c r="F51">
        <v>642</v>
      </c>
      <c r="G51" s="41">
        <v>43366</v>
      </c>
      <c r="H51" t="str">
        <v>NY</v>
      </c>
      <c r="I51">
        <v>1459</v>
      </c>
    </row>
    <row r="52" spans="1:9" x14ac:dyDescent="0.25">
      <c r="A52">
        <v>981</v>
      </c>
      <c r="B52" s="5">
        <v>43432</v>
      </c>
      <c r="C52" t="s">
        <v>94</v>
      </c>
      <c r="D52" s="40">
        <v>1788</v>
      </c>
      <c r="F52">
        <v>411</v>
      </c>
      <c r="G52" s="41">
        <v>43322</v>
      </c>
      <c r="H52" t="str">
        <v>NY</v>
      </c>
      <c r="I52">
        <v>517</v>
      </c>
    </row>
    <row r="53" spans="1:9" x14ac:dyDescent="0.25">
      <c r="A53">
        <v>260</v>
      </c>
      <c r="B53" s="5">
        <v>43295</v>
      </c>
      <c r="C53" t="s">
        <v>94</v>
      </c>
      <c r="D53" s="40">
        <v>815</v>
      </c>
      <c r="F53">
        <v>995</v>
      </c>
      <c r="G53" s="41">
        <v>43434</v>
      </c>
      <c r="H53" t="str">
        <v>CA</v>
      </c>
      <c r="I53">
        <v>1883</v>
      </c>
    </row>
    <row r="54" spans="1:9" x14ac:dyDescent="0.25">
      <c r="A54">
        <v>576</v>
      </c>
      <c r="B54" s="5">
        <v>43352</v>
      </c>
      <c r="C54" t="s">
        <v>94</v>
      </c>
      <c r="D54" s="40">
        <v>1579</v>
      </c>
      <c r="F54">
        <v>841</v>
      </c>
      <c r="G54" s="41">
        <v>43408</v>
      </c>
      <c r="H54" t="str">
        <v>NY</v>
      </c>
      <c r="I54">
        <v>1398</v>
      </c>
    </row>
    <row r="55" spans="1:9" x14ac:dyDescent="0.25">
      <c r="A55">
        <v>20</v>
      </c>
      <c r="B55" s="5">
        <v>43254</v>
      </c>
      <c r="C55" t="s">
        <v>93</v>
      </c>
      <c r="D55" s="40">
        <v>1375</v>
      </c>
      <c r="F55">
        <v>659</v>
      </c>
      <c r="G55" s="41">
        <v>43368</v>
      </c>
      <c r="H55" t="str">
        <v>TX</v>
      </c>
      <c r="I55">
        <v>1652</v>
      </c>
    </row>
    <row r="56" spans="1:9" x14ac:dyDescent="0.25">
      <c r="A56">
        <v>181</v>
      </c>
      <c r="B56" s="5">
        <v>43282</v>
      </c>
      <c r="C56" t="s">
        <v>92</v>
      </c>
      <c r="D56" s="40">
        <v>1882</v>
      </c>
      <c r="F56">
        <v>702</v>
      </c>
      <c r="G56" s="41">
        <v>43381</v>
      </c>
      <c r="H56" t="str">
        <v>CA</v>
      </c>
      <c r="I56">
        <v>1921</v>
      </c>
    </row>
    <row r="57" spans="1:9" x14ac:dyDescent="0.25">
      <c r="A57">
        <v>985</v>
      </c>
      <c r="B57" s="5">
        <v>43432</v>
      </c>
      <c r="C57" t="s">
        <v>92</v>
      </c>
      <c r="D57" s="40">
        <v>1188</v>
      </c>
      <c r="F57">
        <v>829</v>
      </c>
      <c r="G57" s="41">
        <v>43405</v>
      </c>
      <c r="H57" t="str">
        <v>TX</v>
      </c>
      <c r="I57">
        <v>1800</v>
      </c>
    </row>
    <row r="58" spans="1:9" x14ac:dyDescent="0.25">
      <c r="A58">
        <v>662</v>
      </c>
      <c r="B58" s="5">
        <v>43369</v>
      </c>
      <c r="C58" t="s">
        <v>92</v>
      </c>
      <c r="D58" s="40">
        <v>1004</v>
      </c>
      <c r="F58">
        <v>249</v>
      </c>
      <c r="G58" s="41">
        <v>43293</v>
      </c>
      <c r="H58" t="str">
        <v>CA</v>
      </c>
      <c r="I58">
        <v>1363</v>
      </c>
    </row>
    <row r="59" spans="1:9" x14ac:dyDescent="0.25">
      <c r="A59">
        <v>299</v>
      </c>
      <c r="B59" s="5">
        <v>43301</v>
      </c>
      <c r="C59" t="s">
        <v>94</v>
      </c>
      <c r="D59" s="40">
        <v>544</v>
      </c>
      <c r="F59">
        <v>315</v>
      </c>
      <c r="G59" s="41">
        <v>43303</v>
      </c>
      <c r="H59" t="str">
        <v>CA</v>
      </c>
      <c r="I59">
        <v>1762</v>
      </c>
    </row>
    <row r="60" spans="1:9" x14ac:dyDescent="0.25">
      <c r="A60">
        <v>83</v>
      </c>
      <c r="B60" s="5">
        <v>43265</v>
      </c>
      <c r="C60" t="s">
        <v>94</v>
      </c>
      <c r="D60" s="40">
        <v>602</v>
      </c>
      <c r="F60">
        <v>742</v>
      </c>
      <c r="G60" s="41">
        <v>43387</v>
      </c>
      <c r="H60" t="str">
        <v>NY</v>
      </c>
      <c r="I60">
        <v>588</v>
      </c>
    </row>
    <row r="61" spans="1:9" x14ac:dyDescent="0.25">
      <c r="A61">
        <v>986</v>
      </c>
      <c r="B61" s="5">
        <v>43432</v>
      </c>
      <c r="C61" t="s">
        <v>92</v>
      </c>
      <c r="D61" s="40">
        <v>661</v>
      </c>
      <c r="F61">
        <v>792</v>
      </c>
      <c r="G61" s="41">
        <v>43396</v>
      </c>
      <c r="H61" t="str">
        <v>CA</v>
      </c>
      <c r="I61">
        <v>963</v>
      </c>
    </row>
    <row r="62" spans="1:9" x14ac:dyDescent="0.25">
      <c r="A62">
        <v>194</v>
      </c>
      <c r="B62" s="5">
        <v>43283</v>
      </c>
      <c r="C62" t="s">
        <v>92</v>
      </c>
      <c r="D62" s="40">
        <v>1353</v>
      </c>
      <c r="F62">
        <v>559</v>
      </c>
      <c r="G62" s="41">
        <v>43348</v>
      </c>
      <c r="H62" t="str">
        <v>NY</v>
      </c>
      <c r="I62">
        <v>544</v>
      </c>
    </row>
    <row r="63" spans="1:9" x14ac:dyDescent="0.25">
      <c r="A63">
        <v>114</v>
      </c>
      <c r="B63" s="5">
        <v>43270</v>
      </c>
      <c r="C63" t="s">
        <v>92</v>
      </c>
      <c r="D63" s="40">
        <v>1041</v>
      </c>
      <c r="F63">
        <v>933</v>
      </c>
      <c r="G63" s="41">
        <v>43423</v>
      </c>
      <c r="H63" t="str">
        <v>TX</v>
      </c>
      <c r="I63">
        <v>1562</v>
      </c>
    </row>
    <row r="64" spans="1:9" x14ac:dyDescent="0.25">
      <c r="A64">
        <v>642</v>
      </c>
      <c r="B64" s="5">
        <v>43366</v>
      </c>
      <c r="C64" t="s">
        <v>93</v>
      </c>
      <c r="D64" s="40">
        <v>1459</v>
      </c>
      <c r="F64">
        <v>482</v>
      </c>
      <c r="G64" s="41">
        <v>43334</v>
      </c>
      <c r="H64" t="str">
        <v>CA</v>
      </c>
      <c r="I64">
        <v>1388</v>
      </c>
    </row>
    <row r="65" spans="1:9" x14ac:dyDescent="0.25">
      <c r="A65">
        <v>411</v>
      </c>
      <c r="B65" s="5">
        <v>43322</v>
      </c>
      <c r="C65" t="s">
        <v>93</v>
      </c>
      <c r="D65" s="40">
        <v>517</v>
      </c>
      <c r="F65">
        <v>240</v>
      </c>
      <c r="G65" s="41">
        <v>43291</v>
      </c>
      <c r="H65" t="str">
        <v>CA</v>
      </c>
      <c r="I65">
        <v>1793</v>
      </c>
    </row>
    <row r="66" spans="1:9" x14ac:dyDescent="0.25">
      <c r="A66">
        <v>15</v>
      </c>
      <c r="B66" s="5">
        <v>43254</v>
      </c>
      <c r="C66" t="s">
        <v>94</v>
      </c>
      <c r="D66" s="40">
        <v>771</v>
      </c>
      <c r="F66">
        <v>358</v>
      </c>
      <c r="G66" s="41">
        <v>43311</v>
      </c>
      <c r="H66" t="str">
        <v>TX</v>
      </c>
      <c r="I66">
        <v>1801</v>
      </c>
    </row>
    <row r="67" spans="1:9" x14ac:dyDescent="0.25">
      <c r="A67">
        <v>160</v>
      </c>
      <c r="B67" s="5">
        <v>43277</v>
      </c>
      <c r="C67" t="s">
        <v>94</v>
      </c>
      <c r="D67" s="40">
        <v>1228</v>
      </c>
      <c r="F67">
        <v>710</v>
      </c>
      <c r="G67" s="41">
        <v>43382</v>
      </c>
      <c r="H67" t="str">
        <v>CA</v>
      </c>
      <c r="I67">
        <v>1526</v>
      </c>
    </row>
    <row r="68" spans="1:9" x14ac:dyDescent="0.25">
      <c r="A68">
        <v>995</v>
      </c>
      <c r="B68" s="5">
        <v>43434</v>
      </c>
      <c r="C68" t="s">
        <v>92</v>
      </c>
      <c r="D68" s="40">
        <v>1883</v>
      </c>
      <c r="F68">
        <v>506</v>
      </c>
      <c r="G68" s="41">
        <v>43339</v>
      </c>
      <c r="H68" t="str">
        <v>NY</v>
      </c>
      <c r="I68">
        <v>1519</v>
      </c>
    </row>
    <row r="69" spans="1:9" x14ac:dyDescent="0.25">
      <c r="A69">
        <v>38</v>
      </c>
      <c r="B69" s="5">
        <v>43257</v>
      </c>
      <c r="C69" t="s">
        <v>93</v>
      </c>
      <c r="D69" s="40">
        <v>749</v>
      </c>
      <c r="F69">
        <v>919</v>
      </c>
      <c r="G69" s="41">
        <v>43420</v>
      </c>
      <c r="H69" t="str">
        <v>TX</v>
      </c>
      <c r="I69">
        <v>1289</v>
      </c>
    </row>
    <row r="70" spans="1:9" x14ac:dyDescent="0.25">
      <c r="A70">
        <v>80</v>
      </c>
      <c r="B70" s="5">
        <v>43265</v>
      </c>
      <c r="C70" t="s">
        <v>94</v>
      </c>
      <c r="D70" s="40">
        <v>1805</v>
      </c>
      <c r="F70">
        <v>229</v>
      </c>
      <c r="G70" s="41">
        <v>43289</v>
      </c>
      <c r="H70" t="str">
        <v>TX</v>
      </c>
      <c r="I70">
        <v>1099</v>
      </c>
    </row>
    <row r="71" spans="1:9" x14ac:dyDescent="0.25">
      <c r="A71">
        <v>841</v>
      </c>
      <c r="B71" s="5">
        <v>43408</v>
      </c>
      <c r="C71" t="s">
        <v>93</v>
      </c>
      <c r="D71" s="40">
        <v>1398</v>
      </c>
      <c r="F71">
        <v>603</v>
      </c>
      <c r="G71" s="41">
        <v>43356</v>
      </c>
      <c r="H71" t="str">
        <v>TX</v>
      </c>
      <c r="I71">
        <v>1625</v>
      </c>
    </row>
    <row r="72" spans="1:9" x14ac:dyDescent="0.25">
      <c r="A72">
        <v>659</v>
      </c>
      <c r="B72" s="5">
        <v>43368</v>
      </c>
      <c r="C72" t="s">
        <v>94</v>
      </c>
      <c r="D72" s="40">
        <v>1652</v>
      </c>
      <c r="F72">
        <v>796</v>
      </c>
      <c r="G72" s="41">
        <v>43397</v>
      </c>
      <c r="H72" t="str">
        <v>NY</v>
      </c>
      <c r="I72">
        <v>1749</v>
      </c>
    </row>
    <row r="73" spans="1:9" x14ac:dyDescent="0.25">
      <c r="A73">
        <v>108</v>
      </c>
      <c r="B73" s="5">
        <v>43269</v>
      </c>
      <c r="C73" t="s">
        <v>92</v>
      </c>
      <c r="D73" s="40">
        <v>1835</v>
      </c>
      <c r="F73">
        <v>474</v>
      </c>
      <c r="G73" s="41">
        <v>43333</v>
      </c>
      <c r="H73" t="str">
        <v>NY</v>
      </c>
      <c r="I73">
        <v>892</v>
      </c>
    </row>
    <row r="74" spans="1:9" x14ac:dyDescent="0.25">
      <c r="A74">
        <v>702</v>
      </c>
      <c r="B74" s="5">
        <v>43381</v>
      </c>
      <c r="C74" t="s">
        <v>92</v>
      </c>
      <c r="D74" s="40">
        <v>1921</v>
      </c>
      <c r="F74">
        <v>765</v>
      </c>
      <c r="G74" s="41">
        <v>43391</v>
      </c>
      <c r="H74" t="str">
        <v>CA</v>
      </c>
      <c r="I74">
        <v>990</v>
      </c>
    </row>
    <row r="75" spans="1:9" x14ac:dyDescent="0.25">
      <c r="A75">
        <v>829</v>
      </c>
      <c r="B75" s="5">
        <v>43405</v>
      </c>
      <c r="C75" t="s">
        <v>94</v>
      </c>
      <c r="D75" s="40">
        <v>1800</v>
      </c>
      <c r="F75">
        <v>816</v>
      </c>
      <c r="G75" s="41">
        <v>43402</v>
      </c>
      <c r="H75" t="str">
        <v>NY</v>
      </c>
      <c r="I75">
        <v>1925</v>
      </c>
    </row>
    <row r="76" spans="1:9" x14ac:dyDescent="0.25">
      <c r="A76">
        <v>249</v>
      </c>
      <c r="B76" s="5">
        <v>43293</v>
      </c>
      <c r="C76" t="s">
        <v>92</v>
      </c>
      <c r="D76" s="40">
        <v>1363</v>
      </c>
      <c r="F76">
        <v>771</v>
      </c>
      <c r="G76" s="41">
        <v>43392</v>
      </c>
      <c r="H76" t="str">
        <v>NY</v>
      </c>
      <c r="I76">
        <v>1426</v>
      </c>
    </row>
    <row r="77" spans="1:9" x14ac:dyDescent="0.25">
      <c r="A77">
        <v>315</v>
      </c>
      <c r="B77" s="5">
        <v>43303</v>
      </c>
      <c r="C77" t="s">
        <v>92</v>
      </c>
      <c r="D77" s="40">
        <v>1762</v>
      </c>
      <c r="F77">
        <v>657</v>
      </c>
      <c r="G77" s="41">
        <v>43368</v>
      </c>
      <c r="H77" t="str">
        <v>NY</v>
      </c>
      <c r="I77">
        <v>901</v>
      </c>
    </row>
    <row r="78" spans="1:9" x14ac:dyDescent="0.25">
      <c r="A78">
        <v>742</v>
      </c>
      <c r="B78" s="5">
        <v>43387</v>
      </c>
      <c r="C78" t="s">
        <v>93</v>
      </c>
      <c r="D78" s="40">
        <v>588</v>
      </c>
      <c r="F78">
        <v>459</v>
      </c>
      <c r="G78" s="41">
        <v>43331</v>
      </c>
      <c r="H78" t="str">
        <v>TX</v>
      </c>
      <c r="I78">
        <v>1665</v>
      </c>
    </row>
    <row r="79" spans="1:9" x14ac:dyDescent="0.25">
      <c r="A79">
        <v>91</v>
      </c>
      <c r="B79" s="5">
        <v>43266</v>
      </c>
      <c r="C79" t="s">
        <v>94</v>
      </c>
      <c r="D79" s="40">
        <v>663</v>
      </c>
      <c r="F79">
        <v>532</v>
      </c>
      <c r="G79" s="41">
        <v>43344</v>
      </c>
      <c r="H79" t="str">
        <v>NY</v>
      </c>
      <c r="I79">
        <v>1628</v>
      </c>
    </row>
    <row r="80" spans="1:9" x14ac:dyDescent="0.25">
      <c r="A80">
        <v>55</v>
      </c>
      <c r="B80" s="5">
        <v>43260</v>
      </c>
      <c r="C80" t="s">
        <v>93</v>
      </c>
      <c r="D80" s="40">
        <v>1759</v>
      </c>
      <c r="F80">
        <v>361</v>
      </c>
      <c r="G80" s="41">
        <v>43312</v>
      </c>
      <c r="H80" t="str">
        <v>NY</v>
      </c>
      <c r="I80">
        <v>1116</v>
      </c>
    </row>
    <row r="81" spans="1:9" x14ac:dyDescent="0.25">
      <c r="A81">
        <v>136</v>
      </c>
      <c r="B81" s="5">
        <v>43273</v>
      </c>
      <c r="C81" t="s">
        <v>92</v>
      </c>
      <c r="D81" s="40">
        <v>628</v>
      </c>
      <c r="F81">
        <v>866</v>
      </c>
      <c r="G81" s="41">
        <v>43412</v>
      </c>
      <c r="H81" t="str">
        <v>CA</v>
      </c>
      <c r="I81">
        <v>1263</v>
      </c>
    </row>
    <row r="82" spans="1:9" x14ac:dyDescent="0.25">
      <c r="A82">
        <v>792</v>
      </c>
      <c r="B82" s="5">
        <v>43396</v>
      </c>
      <c r="C82" t="s">
        <v>92</v>
      </c>
      <c r="D82" s="40">
        <v>963</v>
      </c>
      <c r="F82">
        <v>739</v>
      </c>
      <c r="G82" s="41">
        <v>43386</v>
      </c>
      <c r="H82" t="str">
        <v>NY</v>
      </c>
      <c r="I82">
        <v>1384</v>
      </c>
    </row>
    <row r="83" spans="1:9" x14ac:dyDescent="0.25">
      <c r="A83">
        <v>559</v>
      </c>
      <c r="B83" s="5">
        <v>43348</v>
      </c>
      <c r="C83" t="s">
        <v>93</v>
      </c>
      <c r="D83" s="40">
        <v>544</v>
      </c>
      <c r="F83">
        <v>775</v>
      </c>
      <c r="G83" s="41">
        <v>43393</v>
      </c>
      <c r="H83" t="str">
        <v>TX</v>
      </c>
      <c r="I83">
        <v>1895</v>
      </c>
    </row>
    <row r="84" spans="1:9" x14ac:dyDescent="0.25">
      <c r="A84">
        <v>159</v>
      </c>
      <c r="B84" s="5">
        <v>43277</v>
      </c>
      <c r="C84" t="s">
        <v>93</v>
      </c>
      <c r="D84" s="40">
        <v>1533</v>
      </c>
      <c r="F84">
        <v>881</v>
      </c>
      <c r="G84" s="41">
        <v>43415</v>
      </c>
      <c r="H84" t="str">
        <v>TX</v>
      </c>
      <c r="I84">
        <v>1652</v>
      </c>
    </row>
    <row r="85" spans="1:9" x14ac:dyDescent="0.25">
      <c r="A85">
        <v>933</v>
      </c>
      <c r="B85" s="5">
        <v>43423</v>
      </c>
      <c r="C85" t="s">
        <v>94</v>
      </c>
      <c r="D85" s="40">
        <v>1562</v>
      </c>
      <c r="F85">
        <v>362</v>
      </c>
      <c r="G85" s="41">
        <v>43312</v>
      </c>
      <c r="H85" t="str">
        <v>NY</v>
      </c>
      <c r="I85">
        <v>1105</v>
      </c>
    </row>
    <row r="86" spans="1:9" x14ac:dyDescent="0.25">
      <c r="A86">
        <v>482</v>
      </c>
      <c r="B86" s="5">
        <v>43334</v>
      </c>
      <c r="C86" t="s">
        <v>92</v>
      </c>
      <c r="D86" s="40">
        <v>1388</v>
      </c>
      <c r="F86">
        <v>291</v>
      </c>
      <c r="G86" s="41">
        <v>43299</v>
      </c>
      <c r="H86" t="str">
        <v>CA</v>
      </c>
      <c r="I86">
        <v>577</v>
      </c>
    </row>
    <row r="87" spans="1:9" x14ac:dyDescent="0.25">
      <c r="A87">
        <v>240</v>
      </c>
      <c r="B87" s="5">
        <v>43291</v>
      </c>
      <c r="C87" t="s">
        <v>92</v>
      </c>
      <c r="D87" s="40">
        <v>1793</v>
      </c>
      <c r="F87">
        <v>769</v>
      </c>
      <c r="G87" s="41">
        <v>43392</v>
      </c>
      <c r="H87" t="str">
        <v>CA</v>
      </c>
      <c r="I87">
        <v>1960</v>
      </c>
    </row>
    <row r="88" spans="1:9" x14ac:dyDescent="0.25">
      <c r="A88">
        <v>358</v>
      </c>
      <c r="B88" s="5">
        <v>43311</v>
      </c>
      <c r="C88" t="s">
        <v>94</v>
      </c>
      <c r="D88" s="40">
        <v>1801</v>
      </c>
      <c r="F88">
        <v>860</v>
      </c>
      <c r="G88" s="41">
        <v>43411</v>
      </c>
      <c r="H88" t="str">
        <v>CA</v>
      </c>
      <c r="I88">
        <v>769</v>
      </c>
    </row>
    <row r="89" spans="1:9" x14ac:dyDescent="0.25">
      <c r="A89">
        <v>67</v>
      </c>
      <c r="B89" s="5">
        <v>43262</v>
      </c>
      <c r="C89" t="s">
        <v>93</v>
      </c>
      <c r="D89" s="40">
        <v>1702</v>
      </c>
      <c r="F89">
        <v>626</v>
      </c>
      <c r="G89" s="41">
        <v>43364</v>
      </c>
      <c r="H89" t="str">
        <v>CA</v>
      </c>
      <c r="I89">
        <v>1669</v>
      </c>
    </row>
    <row r="90" spans="1:9" x14ac:dyDescent="0.25">
      <c r="A90">
        <v>710</v>
      </c>
      <c r="B90" s="5">
        <v>43382</v>
      </c>
      <c r="C90" t="s">
        <v>92</v>
      </c>
      <c r="D90" s="40">
        <v>1526</v>
      </c>
      <c r="F90">
        <v>787</v>
      </c>
      <c r="G90" s="41">
        <v>43395</v>
      </c>
      <c r="H90" t="str">
        <v>TX</v>
      </c>
      <c r="I90">
        <v>949</v>
      </c>
    </row>
    <row r="91" spans="1:9" x14ac:dyDescent="0.25">
      <c r="A91">
        <v>506</v>
      </c>
      <c r="B91" s="5">
        <v>43339</v>
      </c>
      <c r="C91" t="s">
        <v>93</v>
      </c>
      <c r="D91" s="40">
        <v>1519</v>
      </c>
      <c r="F91">
        <v>243</v>
      </c>
      <c r="G91" s="41">
        <v>43292</v>
      </c>
      <c r="H91" t="str">
        <v>NY</v>
      </c>
      <c r="I91">
        <v>1111</v>
      </c>
    </row>
    <row r="92" spans="1:9" x14ac:dyDescent="0.25">
      <c r="A92">
        <v>919</v>
      </c>
      <c r="B92" s="5">
        <v>43420</v>
      </c>
      <c r="C92" t="s">
        <v>94</v>
      </c>
      <c r="D92" s="40">
        <v>1289</v>
      </c>
      <c r="F92">
        <v>703</v>
      </c>
      <c r="G92" s="41">
        <v>43381</v>
      </c>
      <c r="H92" t="str">
        <v>TX</v>
      </c>
      <c r="I92">
        <v>1405</v>
      </c>
    </row>
    <row r="93" spans="1:9" x14ac:dyDescent="0.25">
      <c r="A93">
        <v>229</v>
      </c>
      <c r="B93" s="5">
        <v>43289</v>
      </c>
      <c r="C93" t="s">
        <v>94</v>
      </c>
      <c r="D93" s="40">
        <v>1099</v>
      </c>
      <c r="F93">
        <v>242</v>
      </c>
      <c r="G93" s="41">
        <v>43292</v>
      </c>
      <c r="H93" t="str">
        <v>CA</v>
      </c>
      <c r="I93">
        <v>944</v>
      </c>
    </row>
    <row r="94" spans="1:9" x14ac:dyDescent="0.25">
      <c r="A94">
        <v>603</v>
      </c>
      <c r="B94" s="5">
        <v>43356</v>
      </c>
      <c r="C94" t="s">
        <v>94</v>
      </c>
      <c r="D94" s="40">
        <v>1625</v>
      </c>
      <c r="F94">
        <v>728</v>
      </c>
      <c r="G94" s="41">
        <v>43385</v>
      </c>
      <c r="H94" t="str">
        <v>CA</v>
      </c>
      <c r="I94">
        <v>1360</v>
      </c>
    </row>
    <row r="95" spans="1:9" x14ac:dyDescent="0.25">
      <c r="A95">
        <v>796</v>
      </c>
      <c r="B95" s="5">
        <v>43397</v>
      </c>
      <c r="C95" t="s">
        <v>93</v>
      </c>
      <c r="D95" s="40">
        <v>1749</v>
      </c>
      <c r="F95">
        <v>781</v>
      </c>
      <c r="G95" s="41">
        <v>43393</v>
      </c>
      <c r="H95" t="str">
        <v>TX</v>
      </c>
      <c r="I95">
        <v>1191</v>
      </c>
    </row>
    <row r="96" spans="1:9" x14ac:dyDescent="0.25">
      <c r="A96">
        <v>474</v>
      </c>
      <c r="B96" s="5">
        <v>43333</v>
      </c>
      <c r="C96" t="s">
        <v>93</v>
      </c>
      <c r="D96" s="40">
        <v>892</v>
      </c>
      <c r="F96">
        <v>580</v>
      </c>
      <c r="G96" s="41">
        <v>43353</v>
      </c>
      <c r="H96" t="str">
        <v>CA</v>
      </c>
      <c r="I96">
        <v>1081</v>
      </c>
    </row>
    <row r="97" spans="1:9" x14ac:dyDescent="0.25">
      <c r="A97">
        <v>40</v>
      </c>
      <c r="B97" s="5">
        <v>43257</v>
      </c>
      <c r="C97" t="s">
        <v>94</v>
      </c>
      <c r="D97" s="40">
        <v>605</v>
      </c>
      <c r="F97">
        <v>607</v>
      </c>
      <c r="G97" s="41">
        <v>43358</v>
      </c>
      <c r="H97" t="str">
        <v>CA</v>
      </c>
      <c r="I97">
        <v>1185</v>
      </c>
    </row>
    <row r="98" spans="1:9" x14ac:dyDescent="0.25">
      <c r="A98">
        <v>765</v>
      </c>
      <c r="B98" s="5">
        <v>43391</v>
      </c>
      <c r="C98" t="s">
        <v>92</v>
      </c>
      <c r="D98" s="40">
        <v>990</v>
      </c>
      <c r="F98">
        <v>750</v>
      </c>
      <c r="G98" s="41">
        <v>43388</v>
      </c>
      <c r="H98" t="str">
        <v>NY</v>
      </c>
      <c r="I98">
        <v>1386</v>
      </c>
    </row>
    <row r="99" spans="1:9" x14ac:dyDescent="0.25">
      <c r="A99">
        <v>125</v>
      </c>
      <c r="B99" s="5">
        <v>43272</v>
      </c>
      <c r="C99" t="s">
        <v>93</v>
      </c>
      <c r="D99" s="40">
        <v>953</v>
      </c>
      <c r="F99">
        <v>966</v>
      </c>
      <c r="G99" s="41">
        <v>43429</v>
      </c>
      <c r="H99" t="str">
        <v>NY</v>
      </c>
      <c r="I99">
        <v>977</v>
      </c>
    </row>
    <row r="100" spans="1:9" x14ac:dyDescent="0.25">
      <c r="A100">
        <v>816</v>
      </c>
      <c r="B100" s="5">
        <v>43402</v>
      </c>
      <c r="C100" t="s">
        <v>93</v>
      </c>
      <c r="D100" s="40">
        <v>1925</v>
      </c>
      <c r="F100">
        <v>321</v>
      </c>
      <c r="G100" s="41">
        <v>43304</v>
      </c>
      <c r="H100" t="str">
        <v>TX</v>
      </c>
      <c r="I100">
        <v>778</v>
      </c>
    </row>
    <row r="101" spans="1:9" x14ac:dyDescent="0.25">
      <c r="A101">
        <v>771</v>
      </c>
      <c r="B101" s="5">
        <v>43392</v>
      </c>
      <c r="C101" t="s">
        <v>93</v>
      </c>
      <c r="D101" s="40">
        <v>1426</v>
      </c>
      <c r="F101">
        <v>418</v>
      </c>
      <c r="G101" s="41">
        <v>43323</v>
      </c>
      <c r="H101" t="str">
        <v>TX</v>
      </c>
      <c r="I101">
        <v>775</v>
      </c>
    </row>
    <row r="102" spans="1:9" x14ac:dyDescent="0.25">
      <c r="A102">
        <v>41</v>
      </c>
      <c r="B102" s="5">
        <v>43257</v>
      </c>
      <c r="C102" t="s">
        <v>92</v>
      </c>
      <c r="D102" s="40">
        <v>1142</v>
      </c>
      <c r="F102">
        <v>639</v>
      </c>
      <c r="G102" s="41">
        <v>43365</v>
      </c>
      <c r="H102" t="str">
        <v>CA</v>
      </c>
      <c r="I102">
        <v>1109</v>
      </c>
    </row>
    <row r="103" spans="1:9" x14ac:dyDescent="0.25">
      <c r="A103">
        <v>657</v>
      </c>
      <c r="B103" s="5">
        <v>43368</v>
      </c>
      <c r="C103" t="s">
        <v>93</v>
      </c>
      <c r="D103" s="40">
        <v>901</v>
      </c>
      <c r="F103">
        <v>875</v>
      </c>
      <c r="G103" s="41">
        <v>43414</v>
      </c>
      <c r="H103" t="str">
        <v>CA</v>
      </c>
      <c r="I103">
        <v>608</v>
      </c>
    </row>
    <row r="104" spans="1:9" x14ac:dyDescent="0.25">
      <c r="A104">
        <v>459</v>
      </c>
      <c r="B104" s="5">
        <v>43331</v>
      </c>
      <c r="C104" t="s">
        <v>94</v>
      </c>
      <c r="D104" s="40">
        <v>1665</v>
      </c>
      <c r="F104">
        <v>745</v>
      </c>
      <c r="G104" s="41">
        <v>43387</v>
      </c>
      <c r="H104" t="str">
        <v>NY</v>
      </c>
      <c r="I104">
        <v>1933</v>
      </c>
    </row>
    <row r="105" spans="1:9" x14ac:dyDescent="0.25">
      <c r="A105">
        <v>532</v>
      </c>
      <c r="B105" s="5">
        <v>43344</v>
      </c>
      <c r="C105" t="s">
        <v>93</v>
      </c>
      <c r="D105" s="40">
        <v>1628</v>
      </c>
      <c r="F105">
        <v>461</v>
      </c>
      <c r="G105" s="41">
        <v>43331</v>
      </c>
      <c r="H105" t="str">
        <v>NY</v>
      </c>
      <c r="I105">
        <v>1594</v>
      </c>
    </row>
    <row r="106" spans="1:9" x14ac:dyDescent="0.25">
      <c r="A106">
        <v>361</v>
      </c>
      <c r="B106" s="5">
        <v>43312</v>
      </c>
      <c r="C106" t="s">
        <v>93</v>
      </c>
      <c r="D106" s="40">
        <v>1116</v>
      </c>
      <c r="F106">
        <v>859</v>
      </c>
      <c r="G106" s="41">
        <v>43411</v>
      </c>
      <c r="H106" t="str">
        <v>NY</v>
      </c>
      <c r="I106">
        <v>522</v>
      </c>
    </row>
    <row r="107" spans="1:9" x14ac:dyDescent="0.25">
      <c r="A107">
        <v>133</v>
      </c>
      <c r="B107" s="5">
        <v>43273</v>
      </c>
      <c r="C107" t="s">
        <v>93</v>
      </c>
      <c r="D107" s="40">
        <v>1848</v>
      </c>
      <c r="F107">
        <v>815</v>
      </c>
      <c r="G107" s="41">
        <v>43402</v>
      </c>
      <c r="H107" t="str">
        <v>NY</v>
      </c>
      <c r="I107">
        <v>762</v>
      </c>
    </row>
    <row r="108" spans="1:9" x14ac:dyDescent="0.25">
      <c r="A108">
        <v>866</v>
      </c>
      <c r="B108" s="5">
        <v>43412</v>
      </c>
      <c r="C108" t="s">
        <v>92</v>
      </c>
      <c r="D108" s="40">
        <v>1263</v>
      </c>
      <c r="F108">
        <v>621</v>
      </c>
      <c r="G108" s="41">
        <v>43364</v>
      </c>
      <c r="H108" t="str">
        <v>CA</v>
      </c>
      <c r="I108">
        <v>776</v>
      </c>
    </row>
    <row r="109" spans="1:9" x14ac:dyDescent="0.25">
      <c r="A109">
        <v>739</v>
      </c>
      <c r="B109" s="5">
        <v>43386</v>
      </c>
      <c r="C109" t="s">
        <v>93</v>
      </c>
      <c r="D109" s="40">
        <v>1384</v>
      </c>
      <c r="F109">
        <v>628</v>
      </c>
      <c r="G109" s="41">
        <v>43364</v>
      </c>
      <c r="H109" t="str">
        <v>CA</v>
      </c>
      <c r="I109">
        <v>1857</v>
      </c>
    </row>
    <row r="110" spans="1:9" x14ac:dyDescent="0.25">
      <c r="A110">
        <v>75</v>
      </c>
      <c r="B110" s="5">
        <v>43264</v>
      </c>
      <c r="C110" t="s">
        <v>92</v>
      </c>
      <c r="D110" s="40">
        <v>1458</v>
      </c>
      <c r="F110">
        <v>421</v>
      </c>
      <c r="G110" s="41">
        <v>43324</v>
      </c>
      <c r="H110" t="str">
        <v>CA</v>
      </c>
      <c r="I110">
        <v>761</v>
      </c>
    </row>
    <row r="111" spans="1:9" x14ac:dyDescent="0.25">
      <c r="A111">
        <v>775</v>
      </c>
      <c r="B111" s="5">
        <v>43393</v>
      </c>
      <c r="C111" t="s">
        <v>94</v>
      </c>
      <c r="D111" s="40">
        <v>1895</v>
      </c>
      <c r="F111">
        <v>307</v>
      </c>
      <c r="G111" s="41">
        <v>43302</v>
      </c>
      <c r="H111" t="str">
        <v>NY</v>
      </c>
      <c r="I111">
        <v>1832</v>
      </c>
    </row>
    <row r="112" spans="1:9" x14ac:dyDescent="0.25">
      <c r="A112">
        <v>881</v>
      </c>
      <c r="B112" s="5">
        <v>43415</v>
      </c>
      <c r="C112" t="s">
        <v>94</v>
      </c>
      <c r="D112" s="40">
        <v>1652</v>
      </c>
      <c r="F112">
        <v>790</v>
      </c>
      <c r="G112" s="41">
        <v>43396</v>
      </c>
      <c r="H112" t="str">
        <v>TX</v>
      </c>
      <c r="I112">
        <v>1608</v>
      </c>
    </row>
    <row r="113" spans="1:9" x14ac:dyDescent="0.25">
      <c r="A113">
        <v>362</v>
      </c>
      <c r="B113" s="5">
        <v>43312</v>
      </c>
      <c r="C113" t="s">
        <v>93</v>
      </c>
      <c r="D113" s="40">
        <v>1105</v>
      </c>
      <c r="F113">
        <v>577</v>
      </c>
      <c r="G113" s="41">
        <v>43352</v>
      </c>
      <c r="H113" t="str">
        <v>NY</v>
      </c>
      <c r="I113">
        <v>937</v>
      </c>
    </row>
    <row r="114" spans="1:9" x14ac:dyDescent="0.25">
      <c r="A114">
        <v>291</v>
      </c>
      <c r="B114" s="5">
        <v>43299</v>
      </c>
      <c r="C114" t="s">
        <v>92</v>
      </c>
      <c r="D114" s="40">
        <v>577</v>
      </c>
      <c r="F114">
        <v>620</v>
      </c>
      <c r="G114" s="41">
        <v>43363</v>
      </c>
      <c r="H114" t="str">
        <v>NY</v>
      </c>
      <c r="I114">
        <v>1371</v>
      </c>
    </row>
    <row r="115" spans="1:9" x14ac:dyDescent="0.25">
      <c r="A115">
        <v>769</v>
      </c>
      <c r="B115" s="5">
        <v>43392</v>
      </c>
      <c r="C115" t="s">
        <v>92</v>
      </c>
      <c r="D115" s="40">
        <v>1960</v>
      </c>
      <c r="F115">
        <v>924</v>
      </c>
      <c r="G115" s="41">
        <v>43421</v>
      </c>
      <c r="H115" t="str">
        <v>TX</v>
      </c>
      <c r="I115">
        <v>903</v>
      </c>
    </row>
    <row r="116" spans="1:9" x14ac:dyDescent="0.25">
      <c r="A116">
        <v>860</v>
      </c>
      <c r="B116" s="5">
        <v>43411</v>
      </c>
      <c r="C116" t="s">
        <v>92</v>
      </c>
      <c r="D116" s="40">
        <v>769</v>
      </c>
      <c r="F116">
        <v>867</v>
      </c>
      <c r="G116" s="41">
        <v>43412</v>
      </c>
      <c r="H116" t="str">
        <v>TX</v>
      </c>
      <c r="I116">
        <v>1076</v>
      </c>
    </row>
    <row r="117" spans="1:9" x14ac:dyDescent="0.25">
      <c r="A117">
        <v>626</v>
      </c>
      <c r="B117" s="5">
        <v>43364</v>
      </c>
      <c r="C117" t="s">
        <v>92</v>
      </c>
      <c r="D117" s="40">
        <v>1669</v>
      </c>
      <c r="F117">
        <v>552</v>
      </c>
      <c r="G117" s="41">
        <v>43347</v>
      </c>
      <c r="H117" t="str">
        <v>NY</v>
      </c>
      <c r="I117">
        <v>1555</v>
      </c>
    </row>
    <row r="118" spans="1:9" x14ac:dyDescent="0.25">
      <c r="A118">
        <v>122</v>
      </c>
      <c r="B118" s="5">
        <v>43271</v>
      </c>
      <c r="C118" t="s">
        <v>94</v>
      </c>
      <c r="D118" s="40">
        <v>1381</v>
      </c>
      <c r="F118">
        <v>561</v>
      </c>
      <c r="G118" s="41">
        <v>43348</v>
      </c>
      <c r="H118" t="str">
        <v>TX</v>
      </c>
      <c r="I118">
        <v>515</v>
      </c>
    </row>
    <row r="119" spans="1:9" x14ac:dyDescent="0.25">
      <c r="A119">
        <v>787</v>
      </c>
      <c r="B119" s="5">
        <v>43395</v>
      </c>
      <c r="C119" t="s">
        <v>94</v>
      </c>
      <c r="D119" s="40">
        <v>949</v>
      </c>
      <c r="F119">
        <v>219</v>
      </c>
      <c r="G119" s="41">
        <v>43288</v>
      </c>
      <c r="H119" t="str">
        <v>NY</v>
      </c>
      <c r="I119">
        <v>1271</v>
      </c>
    </row>
    <row r="120" spans="1:9" x14ac:dyDescent="0.25">
      <c r="A120">
        <v>243</v>
      </c>
      <c r="B120" s="5">
        <v>43292</v>
      </c>
      <c r="C120" t="s">
        <v>93</v>
      </c>
      <c r="D120" s="40">
        <v>1111</v>
      </c>
      <c r="F120">
        <v>625</v>
      </c>
      <c r="G120" s="41">
        <v>43364</v>
      </c>
      <c r="H120" t="str">
        <v>TX</v>
      </c>
      <c r="I120">
        <v>1529</v>
      </c>
    </row>
    <row r="121" spans="1:9" x14ac:dyDescent="0.25">
      <c r="A121">
        <v>703</v>
      </c>
      <c r="B121" s="5">
        <v>43381</v>
      </c>
      <c r="C121" t="s">
        <v>94</v>
      </c>
      <c r="D121" s="40">
        <v>1405</v>
      </c>
      <c r="F121">
        <v>850</v>
      </c>
      <c r="G121" s="41">
        <v>43409</v>
      </c>
      <c r="H121" t="str">
        <v>CA</v>
      </c>
      <c r="I121">
        <v>1756</v>
      </c>
    </row>
    <row r="122" spans="1:9" x14ac:dyDescent="0.25">
      <c r="A122">
        <v>242</v>
      </c>
      <c r="B122" s="5">
        <v>43292</v>
      </c>
      <c r="C122" t="s">
        <v>92</v>
      </c>
      <c r="D122" s="40">
        <v>944</v>
      </c>
      <c r="F122">
        <v>497</v>
      </c>
      <c r="G122" s="41">
        <v>43338</v>
      </c>
      <c r="H122" t="str">
        <v>NY</v>
      </c>
      <c r="I122">
        <v>1900</v>
      </c>
    </row>
    <row r="123" spans="1:9" x14ac:dyDescent="0.25">
      <c r="A123">
        <v>29</v>
      </c>
      <c r="B123" s="5">
        <v>43256</v>
      </c>
      <c r="C123" t="s">
        <v>94</v>
      </c>
      <c r="D123" s="40">
        <v>1712</v>
      </c>
      <c r="F123">
        <v>922</v>
      </c>
      <c r="G123" s="41">
        <v>43421</v>
      </c>
      <c r="H123" t="str">
        <v>NY</v>
      </c>
      <c r="I123">
        <v>966</v>
      </c>
    </row>
    <row r="124" spans="1:9" x14ac:dyDescent="0.25">
      <c r="A124">
        <v>728</v>
      </c>
      <c r="B124" s="5">
        <v>43385</v>
      </c>
      <c r="C124" t="s">
        <v>92</v>
      </c>
      <c r="D124" s="40">
        <v>1360</v>
      </c>
      <c r="F124">
        <v>654</v>
      </c>
      <c r="G124" s="41">
        <v>43368</v>
      </c>
      <c r="H124" t="str">
        <v>CA</v>
      </c>
      <c r="I124">
        <v>1884</v>
      </c>
    </row>
    <row r="125" spans="1:9" x14ac:dyDescent="0.25">
      <c r="A125">
        <v>781</v>
      </c>
      <c r="B125" s="5">
        <v>43393</v>
      </c>
      <c r="C125" t="s">
        <v>94</v>
      </c>
      <c r="D125" s="40">
        <v>1191</v>
      </c>
      <c r="F125">
        <v>651</v>
      </c>
      <c r="G125" s="41">
        <v>43367</v>
      </c>
      <c r="H125" t="str">
        <v>TX</v>
      </c>
      <c r="I125">
        <v>605</v>
      </c>
    </row>
    <row r="126" spans="1:9" x14ac:dyDescent="0.25">
      <c r="A126">
        <v>580</v>
      </c>
      <c r="B126" s="5">
        <v>43353</v>
      </c>
      <c r="C126" t="s">
        <v>92</v>
      </c>
      <c r="D126" s="40">
        <v>1081</v>
      </c>
      <c r="F126">
        <v>721</v>
      </c>
      <c r="G126" s="41">
        <v>43384</v>
      </c>
      <c r="H126" t="str">
        <v>NY</v>
      </c>
      <c r="I126">
        <v>790</v>
      </c>
    </row>
    <row r="127" spans="1:9" x14ac:dyDescent="0.25">
      <c r="A127">
        <v>607</v>
      </c>
      <c r="B127" s="5">
        <v>43358</v>
      </c>
      <c r="C127" t="s">
        <v>92</v>
      </c>
      <c r="D127" s="40">
        <v>1185</v>
      </c>
      <c r="F127">
        <v>714</v>
      </c>
      <c r="G127" s="41">
        <v>43383</v>
      </c>
      <c r="H127" t="str">
        <v>CA</v>
      </c>
      <c r="I127">
        <v>956</v>
      </c>
    </row>
    <row r="128" spans="1:9" x14ac:dyDescent="0.25">
      <c r="A128">
        <v>21</v>
      </c>
      <c r="B128" s="5">
        <v>43255</v>
      </c>
      <c r="C128" t="s">
        <v>94</v>
      </c>
      <c r="D128" s="40">
        <v>702</v>
      </c>
      <c r="F128">
        <v>653</v>
      </c>
      <c r="G128" s="41">
        <v>43367</v>
      </c>
      <c r="H128" t="str">
        <v>NY</v>
      </c>
      <c r="I128">
        <v>980</v>
      </c>
    </row>
    <row r="129" spans="1:9" x14ac:dyDescent="0.25">
      <c r="A129">
        <v>750</v>
      </c>
      <c r="B129" s="5">
        <v>43388</v>
      </c>
      <c r="C129" t="s">
        <v>93</v>
      </c>
      <c r="D129" s="40">
        <v>1386</v>
      </c>
      <c r="F129">
        <v>342</v>
      </c>
      <c r="G129" s="41">
        <v>43308</v>
      </c>
      <c r="H129" t="str">
        <v>CA</v>
      </c>
      <c r="I129">
        <v>1159</v>
      </c>
    </row>
    <row r="130" spans="1:9" x14ac:dyDescent="0.25">
      <c r="A130">
        <v>966</v>
      </c>
      <c r="B130" s="5">
        <v>43429</v>
      </c>
      <c r="C130" t="s">
        <v>93</v>
      </c>
      <c r="D130" s="40">
        <v>977</v>
      </c>
      <c r="F130">
        <v>959</v>
      </c>
      <c r="G130" s="41">
        <v>43427</v>
      </c>
      <c r="H130" t="str">
        <v>CA</v>
      </c>
      <c r="I130">
        <v>1895</v>
      </c>
    </row>
    <row r="131" spans="1:9" x14ac:dyDescent="0.25">
      <c r="A131">
        <v>321</v>
      </c>
      <c r="B131" s="5">
        <v>43304</v>
      </c>
      <c r="C131" t="s">
        <v>94</v>
      </c>
      <c r="D131" s="40">
        <v>778</v>
      </c>
      <c r="F131">
        <v>518</v>
      </c>
      <c r="G131" s="41">
        <v>43342</v>
      </c>
      <c r="H131" t="str">
        <v>CA</v>
      </c>
      <c r="I131">
        <v>688</v>
      </c>
    </row>
    <row r="132" spans="1:9" x14ac:dyDescent="0.25">
      <c r="A132">
        <v>167</v>
      </c>
      <c r="B132" s="5">
        <v>43279</v>
      </c>
      <c r="C132" t="s">
        <v>93</v>
      </c>
      <c r="D132" s="40">
        <v>1035</v>
      </c>
      <c r="F132">
        <v>885</v>
      </c>
      <c r="G132" s="41">
        <v>43415</v>
      </c>
      <c r="H132" t="str">
        <v>CA</v>
      </c>
      <c r="I132">
        <v>671</v>
      </c>
    </row>
    <row r="133" spans="1:9" x14ac:dyDescent="0.25">
      <c r="A133">
        <v>418</v>
      </c>
      <c r="B133" s="5">
        <v>43323</v>
      </c>
      <c r="C133" t="s">
        <v>94</v>
      </c>
      <c r="D133" s="40">
        <v>775</v>
      </c>
      <c r="F133">
        <v>786</v>
      </c>
      <c r="G133" s="41">
        <v>43395</v>
      </c>
      <c r="H133" t="str">
        <v>TX</v>
      </c>
      <c r="I133">
        <v>1004</v>
      </c>
    </row>
    <row r="134" spans="1:9" x14ac:dyDescent="0.25">
      <c r="A134">
        <v>639</v>
      </c>
      <c r="B134" s="5">
        <v>43365</v>
      </c>
      <c r="C134" t="s">
        <v>92</v>
      </c>
      <c r="D134" s="40">
        <v>1109</v>
      </c>
      <c r="F134">
        <v>824</v>
      </c>
      <c r="G134" s="41">
        <v>43403</v>
      </c>
      <c r="H134" t="str">
        <v>CA</v>
      </c>
      <c r="I134">
        <v>1523</v>
      </c>
    </row>
    <row r="135" spans="1:9" x14ac:dyDescent="0.25">
      <c r="A135">
        <v>875</v>
      </c>
      <c r="B135" s="5">
        <v>43414</v>
      </c>
      <c r="C135" t="s">
        <v>92</v>
      </c>
      <c r="D135" s="40">
        <v>608</v>
      </c>
      <c r="F135">
        <v>252</v>
      </c>
      <c r="G135" s="41">
        <v>43293</v>
      </c>
      <c r="H135" t="str">
        <v>TX</v>
      </c>
      <c r="I135">
        <v>816</v>
      </c>
    </row>
    <row r="136" spans="1:9" x14ac:dyDescent="0.25">
      <c r="A136">
        <v>135</v>
      </c>
      <c r="B136" s="5">
        <v>43273</v>
      </c>
      <c r="C136" t="s">
        <v>94</v>
      </c>
      <c r="D136" s="40">
        <v>669</v>
      </c>
      <c r="F136">
        <v>791</v>
      </c>
      <c r="G136" s="41">
        <v>43396</v>
      </c>
      <c r="H136" t="str">
        <v>TX</v>
      </c>
      <c r="I136">
        <v>830</v>
      </c>
    </row>
    <row r="137" spans="1:9" x14ac:dyDescent="0.25">
      <c r="A137">
        <v>79</v>
      </c>
      <c r="B137" s="5">
        <v>43265</v>
      </c>
      <c r="C137" t="s">
        <v>94</v>
      </c>
      <c r="D137" s="40">
        <v>1771</v>
      </c>
      <c r="F137">
        <v>795</v>
      </c>
      <c r="G137" s="41">
        <v>43397</v>
      </c>
      <c r="H137" t="str">
        <v>TX</v>
      </c>
      <c r="I137">
        <v>971</v>
      </c>
    </row>
    <row r="138" spans="1:9" x14ac:dyDescent="0.25">
      <c r="A138">
        <v>745</v>
      </c>
      <c r="B138" s="5">
        <v>43387</v>
      </c>
      <c r="C138" t="s">
        <v>93</v>
      </c>
      <c r="D138" s="40">
        <v>1933</v>
      </c>
      <c r="F138">
        <v>310</v>
      </c>
      <c r="G138" s="41">
        <v>43303</v>
      </c>
      <c r="H138" t="str">
        <v>CA</v>
      </c>
      <c r="I138">
        <v>814</v>
      </c>
    </row>
    <row r="139" spans="1:9" x14ac:dyDescent="0.25">
      <c r="A139">
        <v>461</v>
      </c>
      <c r="B139" s="5">
        <v>43331</v>
      </c>
      <c r="C139" t="s">
        <v>93</v>
      </c>
      <c r="D139" s="40">
        <v>1594</v>
      </c>
      <c r="F139">
        <v>312</v>
      </c>
      <c r="G139" s="41">
        <v>43303</v>
      </c>
      <c r="H139" t="str">
        <v>NY</v>
      </c>
      <c r="I139">
        <v>970</v>
      </c>
    </row>
    <row r="140" spans="1:9" x14ac:dyDescent="0.25">
      <c r="A140">
        <v>93</v>
      </c>
      <c r="B140" s="5">
        <v>43267</v>
      </c>
      <c r="C140" t="s">
        <v>92</v>
      </c>
      <c r="D140" s="40">
        <v>582</v>
      </c>
      <c r="F140">
        <v>731</v>
      </c>
      <c r="G140" s="41">
        <v>43385</v>
      </c>
      <c r="H140" t="str">
        <v>CA</v>
      </c>
      <c r="I140">
        <v>514</v>
      </c>
    </row>
    <row r="141" spans="1:9" x14ac:dyDescent="0.25">
      <c r="A141">
        <v>859</v>
      </c>
      <c r="B141" s="5">
        <v>43411</v>
      </c>
      <c r="C141" t="s">
        <v>93</v>
      </c>
      <c r="D141" s="40">
        <v>522</v>
      </c>
      <c r="F141">
        <v>592</v>
      </c>
      <c r="G141" s="41">
        <v>43355</v>
      </c>
      <c r="H141" t="str">
        <v>TX</v>
      </c>
      <c r="I141">
        <v>642</v>
      </c>
    </row>
    <row r="142" spans="1:9" x14ac:dyDescent="0.25">
      <c r="A142">
        <v>69</v>
      </c>
      <c r="B142" s="5">
        <v>43263</v>
      </c>
      <c r="C142" t="s">
        <v>93</v>
      </c>
      <c r="D142" s="40">
        <v>706</v>
      </c>
      <c r="F142">
        <v>367</v>
      </c>
      <c r="G142" s="41">
        <v>43313</v>
      </c>
      <c r="H142" t="str">
        <v>TX</v>
      </c>
      <c r="I142">
        <v>727</v>
      </c>
    </row>
    <row r="143" spans="1:9" x14ac:dyDescent="0.25">
      <c r="A143">
        <v>48</v>
      </c>
      <c r="B143" s="5">
        <v>43259</v>
      </c>
      <c r="C143" t="s">
        <v>92</v>
      </c>
      <c r="D143" s="40">
        <v>1055</v>
      </c>
      <c r="F143">
        <v>488</v>
      </c>
      <c r="G143" s="41">
        <v>43335</v>
      </c>
      <c r="H143" t="str">
        <v>NY</v>
      </c>
      <c r="I143">
        <v>587</v>
      </c>
    </row>
    <row r="144" spans="1:9" x14ac:dyDescent="0.25">
      <c r="A144">
        <v>815</v>
      </c>
      <c r="B144" s="5">
        <v>43402</v>
      </c>
      <c r="C144" t="s">
        <v>93</v>
      </c>
      <c r="D144" s="40">
        <v>762</v>
      </c>
      <c r="F144">
        <v>913</v>
      </c>
      <c r="G144" s="41">
        <v>43420</v>
      </c>
      <c r="H144" t="str">
        <v>TX</v>
      </c>
      <c r="I144">
        <v>1541</v>
      </c>
    </row>
    <row r="145" spans="1:9" x14ac:dyDescent="0.25">
      <c r="A145">
        <v>621</v>
      </c>
      <c r="B145" s="5">
        <v>43364</v>
      </c>
      <c r="C145" t="s">
        <v>92</v>
      </c>
      <c r="D145" s="40">
        <v>776</v>
      </c>
      <c r="F145">
        <v>759</v>
      </c>
      <c r="G145" s="41">
        <v>43389</v>
      </c>
      <c r="H145" t="str">
        <v>CA</v>
      </c>
      <c r="I145">
        <v>664</v>
      </c>
    </row>
    <row r="146" spans="1:9" x14ac:dyDescent="0.25">
      <c r="A146">
        <v>628</v>
      </c>
      <c r="B146" s="5">
        <v>43364</v>
      </c>
      <c r="C146" t="s">
        <v>92</v>
      </c>
      <c r="D146" s="40">
        <v>1857</v>
      </c>
      <c r="F146">
        <v>821</v>
      </c>
      <c r="G146" s="41">
        <v>43402</v>
      </c>
      <c r="H146" t="str">
        <v>NY</v>
      </c>
      <c r="I146">
        <v>742</v>
      </c>
    </row>
    <row r="147" spans="1:9" x14ac:dyDescent="0.25">
      <c r="A147">
        <v>421</v>
      </c>
      <c r="B147" s="5">
        <v>43324</v>
      </c>
      <c r="C147" t="s">
        <v>92</v>
      </c>
      <c r="D147" s="40">
        <v>761</v>
      </c>
      <c r="F147">
        <v>574</v>
      </c>
      <c r="G147" s="41">
        <v>43351</v>
      </c>
      <c r="H147" t="str">
        <v>CA</v>
      </c>
      <c r="I147">
        <v>980</v>
      </c>
    </row>
    <row r="148" spans="1:9" x14ac:dyDescent="0.25">
      <c r="A148">
        <v>307</v>
      </c>
      <c r="B148" s="5">
        <v>43302</v>
      </c>
      <c r="C148" t="s">
        <v>93</v>
      </c>
      <c r="D148" s="40">
        <v>1832</v>
      </c>
      <c r="F148">
        <v>237</v>
      </c>
      <c r="G148" s="41">
        <v>43291</v>
      </c>
      <c r="H148" t="str">
        <v>TX</v>
      </c>
      <c r="I148">
        <v>1919</v>
      </c>
    </row>
    <row r="149" spans="1:9" x14ac:dyDescent="0.25">
      <c r="A149">
        <v>790</v>
      </c>
      <c r="B149" s="5">
        <v>43396</v>
      </c>
      <c r="C149" t="s">
        <v>94</v>
      </c>
      <c r="D149" s="40">
        <v>1608</v>
      </c>
      <c r="F149">
        <v>906</v>
      </c>
      <c r="G149" s="41">
        <v>43419</v>
      </c>
      <c r="H149" t="str">
        <v>CA</v>
      </c>
      <c r="I149">
        <v>1454</v>
      </c>
    </row>
    <row r="150" spans="1:9" x14ac:dyDescent="0.25">
      <c r="A150">
        <v>577</v>
      </c>
      <c r="B150" s="5">
        <v>43352</v>
      </c>
      <c r="C150" t="s">
        <v>93</v>
      </c>
      <c r="D150" s="40">
        <v>937</v>
      </c>
      <c r="F150">
        <v>193</v>
      </c>
      <c r="G150" s="41">
        <v>43283</v>
      </c>
      <c r="H150" t="str">
        <v>NY</v>
      </c>
      <c r="I150">
        <v>1012</v>
      </c>
    </row>
    <row r="151" spans="1:9" x14ac:dyDescent="0.25">
      <c r="A151">
        <v>620</v>
      </c>
      <c r="B151" s="5">
        <v>43363</v>
      </c>
      <c r="C151" t="s">
        <v>93</v>
      </c>
      <c r="D151" s="40">
        <v>1371</v>
      </c>
      <c r="F151">
        <v>973</v>
      </c>
      <c r="G151" s="41">
        <v>43431</v>
      </c>
      <c r="H151" t="str">
        <v>CA</v>
      </c>
      <c r="I151">
        <v>1224</v>
      </c>
    </row>
    <row r="152" spans="1:9" x14ac:dyDescent="0.25">
      <c r="A152">
        <v>924</v>
      </c>
      <c r="B152" s="5">
        <v>43421</v>
      </c>
      <c r="C152" t="s">
        <v>94</v>
      </c>
      <c r="D152" s="40">
        <v>903</v>
      </c>
      <c r="F152">
        <v>184</v>
      </c>
      <c r="G152" s="41">
        <v>43283</v>
      </c>
      <c r="H152" t="str">
        <v>CA</v>
      </c>
      <c r="I152">
        <v>1701</v>
      </c>
    </row>
    <row r="153" spans="1:9" x14ac:dyDescent="0.25">
      <c r="A153">
        <v>867</v>
      </c>
      <c r="B153" s="5">
        <v>43412</v>
      </c>
      <c r="C153" t="s">
        <v>94</v>
      </c>
      <c r="D153" s="40">
        <v>1076</v>
      </c>
      <c r="F153">
        <v>604</v>
      </c>
      <c r="G153" s="41">
        <v>43357</v>
      </c>
      <c r="H153" t="str">
        <v>NY</v>
      </c>
      <c r="I153">
        <v>1589</v>
      </c>
    </row>
    <row r="154" spans="1:9" x14ac:dyDescent="0.25">
      <c r="A154">
        <v>552</v>
      </c>
      <c r="B154" s="5">
        <v>43347</v>
      </c>
      <c r="C154" t="s">
        <v>93</v>
      </c>
      <c r="D154" s="40">
        <v>1555</v>
      </c>
      <c r="F154">
        <v>262</v>
      </c>
      <c r="G154" s="41">
        <v>43295</v>
      </c>
      <c r="H154" t="str">
        <v>CA</v>
      </c>
      <c r="I154">
        <v>1214</v>
      </c>
    </row>
    <row r="155" spans="1:9" x14ac:dyDescent="0.25">
      <c r="A155">
        <v>561</v>
      </c>
      <c r="B155" s="5">
        <v>43348</v>
      </c>
      <c r="C155" t="s">
        <v>94</v>
      </c>
      <c r="D155" s="40">
        <v>515</v>
      </c>
      <c r="F155">
        <v>685</v>
      </c>
      <c r="G155" s="41">
        <v>43376</v>
      </c>
      <c r="H155" t="str">
        <v>TX</v>
      </c>
      <c r="I155">
        <v>1530</v>
      </c>
    </row>
    <row r="156" spans="1:9" x14ac:dyDescent="0.25">
      <c r="A156">
        <v>219</v>
      </c>
      <c r="B156" s="5">
        <v>43288</v>
      </c>
      <c r="C156" t="s">
        <v>93</v>
      </c>
      <c r="D156" s="40">
        <v>1271</v>
      </c>
      <c r="F156">
        <v>311</v>
      </c>
      <c r="G156" s="41">
        <v>43303</v>
      </c>
      <c r="H156" t="str">
        <v>NY</v>
      </c>
      <c r="I156">
        <v>1350</v>
      </c>
    </row>
    <row r="157" spans="1:9" x14ac:dyDescent="0.25">
      <c r="A157">
        <v>625</v>
      </c>
      <c r="B157" s="5">
        <v>43364</v>
      </c>
      <c r="C157" t="s">
        <v>94</v>
      </c>
      <c r="D157" s="40">
        <v>1529</v>
      </c>
      <c r="F157">
        <v>914</v>
      </c>
      <c r="G157" s="41">
        <v>43420</v>
      </c>
      <c r="H157" t="str">
        <v>CA</v>
      </c>
      <c r="I157">
        <v>1536</v>
      </c>
    </row>
    <row r="158" spans="1:9" x14ac:dyDescent="0.25">
      <c r="A158">
        <v>850</v>
      </c>
      <c r="B158" s="5">
        <v>43409</v>
      </c>
      <c r="C158" t="s">
        <v>92</v>
      </c>
      <c r="D158" s="40">
        <v>1756</v>
      </c>
      <c r="F158">
        <v>424</v>
      </c>
      <c r="G158" s="41">
        <v>43324</v>
      </c>
      <c r="H158" t="str">
        <v>CA</v>
      </c>
      <c r="I158">
        <v>1613</v>
      </c>
    </row>
    <row r="159" spans="1:9" x14ac:dyDescent="0.25">
      <c r="A159">
        <v>497</v>
      </c>
      <c r="B159" s="5">
        <v>43338</v>
      </c>
      <c r="C159" t="s">
        <v>93</v>
      </c>
      <c r="D159" s="40">
        <v>1900</v>
      </c>
      <c r="F159">
        <v>419</v>
      </c>
      <c r="G159" s="41">
        <v>43323</v>
      </c>
      <c r="H159" t="str">
        <v>NY</v>
      </c>
      <c r="I159">
        <v>1024</v>
      </c>
    </row>
    <row r="160" spans="1:9" x14ac:dyDescent="0.25">
      <c r="A160">
        <v>922</v>
      </c>
      <c r="B160" s="5">
        <v>43421</v>
      </c>
      <c r="C160" t="s">
        <v>93</v>
      </c>
      <c r="D160" s="40">
        <v>966</v>
      </c>
      <c r="F160">
        <v>270</v>
      </c>
      <c r="G160" s="41">
        <v>43296</v>
      </c>
      <c r="H160" t="str">
        <v>CA</v>
      </c>
      <c r="I160">
        <v>868</v>
      </c>
    </row>
    <row r="161" spans="1:9" x14ac:dyDescent="0.25">
      <c r="A161">
        <v>71</v>
      </c>
      <c r="B161" s="5">
        <v>43263</v>
      </c>
      <c r="C161" t="s">
        <v>94</v>
      </c>
      <c r="D161" s="40">
        <v>1572</v>
      </c>
      <c r="F161">
        <v>294</v>
      </c>
      <c r="G161" s="41">
        <v>43300</v>
      </c>
      <c r="H161" t="str">
        <v>CA</v>
      </c>
      <c r="I161">
        <v>982</v>
      </c>
    </row>
    <row r="162" spans="1:9" x14ac:dyDescent="0.25">
      <c r="A162">
        <v>654</v>
      </c>
      <c r="B162" s="5">
        <v>43368</v>
      </c>
      <c r="C162" t="s">
        <v>92</v>
      </c>
      <c r="D162" s="40">
        <v>1884</v>
      </c>
      <c r="F162">
        <v>521</v>
      </c>
      <c r="G162" s="41">
        <v>43343</v>
      </c>
      <c r="H162" t="str">
        <v>CA</v>
      </c>
      <c r="I162">
        <v>1489</v>
      </c>
    </row>
    <row r="163" spans="1:9" x14ac:dyDescent="0.25">
      <c r="A163">
        <v>651</v>
      </c>
      <c r="B163" s="5">
        <v>43367</v>
      </c>
      <c r="C163" t="s">
        <v>94</v>
      </c>
      <c r="D163" s="40">
        <v>605</v>
      </c>
      <c r="F163">
        <v>802</v>
      </c>
      <c r="G163" s="41">
        <v>43398</v>
      </c>
      <c r="H163" t="str">
        <v>TX</v>
      </c>
      <c r="I163">
        <v>1502</v>
      </c>
    </row>
    <row r="164" spans="1:9" x14ac:dyDescent="0.25">
      <c r="A164">
        <v>721</v>
      </c>
      <c r="B164" s="5">
        <v>43384</v>
      </c>
      <c r="C164" t="s">
        <v>93</v>
      </c>
      <c r="D164" s="40">
        <v>790</v>
      </c>
      <c r="F164">
        <v>892</v>
      </c>
      <c r="G164" s="41">
        <v>43416</v>
      </c>
      <c r="H164" t="str">
        <v>CA</v>
      </c>
      <c r="I164">
        <v>1266</v>
      </c>
    </row>
    <row r="165" spans="1:9" x14ac:dyDescent="0.25">
      <c r="A165">
        <v>714</v>
      </c>
      <c r="B165" s="5">
        <v>43383</v>
      </c>
      <c r="C165" t="s">
        <v>92</v>
      </c>
      <c r="D165" s="40">
        <v>956</v>
      </c>
      <c r="F165">
        <v>610</v>
      </c>
      <c r="G165" s="41">
        <v>43359</v>
      </c>
      <c r="H165" t="str">
        <v>NY</v>
      </c>
      <c r="I165">
        <v>757</v>
      </c>
    </row>
    <row r="166" spans="1:9" x14ac:dyDescent="0.25">
      <c r="A166">
        <v>653</v>
      </c>
      <c r="B166" s="5">
        <v>43367</v>
      </c>
      <c r="C166" t="s">
        <v>93</v>
      </c>
      <c r="D166" s="40">
        <v>980</v>
      </c>
      <c r="F166">
        <v>464</v>
      </c>
      <c r="G166" s="41">
        <v>43332</v>
      </c>
      <c r="H166" t="str">
        <v>CA</v>
      </c>
      <c r="I166">
        <v>1188</v>
      </c>
    </row>
    <row r="167" spans="1:9" x14ac:dyDescent="0.25">
      <c r="A167">
        <v>342</v>
      </c>
      <c r="B167" s="5">
        <v>43308</v>
      </c>
      <c r="C167" t="s">
        <v>92</v>
      </c>
      <c r="D167" s="40">
        <v>1159</v>
      </c>
      <c r="F167">
        <v>266</v>
      </c>
      <c r="G167" s="41">
        <v>43296</v>
      </c>
      <c r="H167" t="str">
        <v>NY</v>
      </c>
      <c r="I167">
        <v>993</v>
      </c>
    </row>
    <row r="168" spans="1:9" x14ac:dyDescent="0.25">
      <c r="A168">
        <v>959</v>
      </c>
      <c r="B168" s="5">
        <v>43427</v>
      </c>
      <c r="C168" t="s">
        <v>92</v>
      </c>
      <c r="D168" s="40">
        <v>1895</v>
      </c>
      <c r="F168">
        <v>976</v>
      </c>
      <c r="G168" s="41">
        <v>43431</v>
      </c>
      <c r="H168" t="str">
        <v>NY</v>
      </c>
      <c r="I168">
        <v>1894</v>
      </c>
    </row>
    <row r="169" spans="1:9" x14ac:dyDescent="0.25">
      <c r="A169">
        <v>25</v>
      </c>
      <c r="B169" s="5">
        <v>43255</v>
      </c>
      <c r="C169" t="s">
        <v>92</v>
      </c>
      <c r="D169" s="40">
        <v>1736</v>
      </c>
      <c r="F169">
        <v>397</v>
      </c>
      <c r="G169" s="41">
        <v>43319</v>
      </c>
      <c r="H169" t="str">
        <v>TX</v>
      </c>
      <c r="I169">
        <v>1824</v>
      </c>
    </row>
    <row r="170" spans="1:9" x14ac:dyDescent="0.25">
      <c r="A170">
        <v>117</v>
      </c>
      <c r="B170" s="5">
        <v>43270</v>
      </c>
      <c r="C170" t="s">
        <v>94</v>
      </c>
      <c r="D170" s="40">
        <v>1543</v>
      </c>
      <c r="F170">
        <v>833</v>
      </c>
      <c r="G170" s="41">
        <v>43407</v>
      </c>
      <c r="H170" t="str">
        <v>TX</v>
      </c>
      <c r="I170">
        <v>636</v>
      </c>
    </row>
    <row r="171" spans="1:9" x14ac:dyDescent="0.25">
      <c r="A171">
        <v>518</v>
      </c>
      <c r="B171" s="5">
        <v>43342</v>
      </c>
      <c r="C171" t="s">
        <v>92</v>
      </c>
      <c r="D171" s="40">
        <v>688</v>
      </c>
      <c r="F171">
        <v>372</v>
      </c>
      <c r="G171" s="41">
        <v>43314</v>
      </c>
      <c r="H171" t="str">
        <v>CA</v>
      </c>
      <c r="I171">
        <v>1522</v>
      </c>
    </row>
    <row r="172" spans="1:9" x14ac:dyDescent="0.25">
      <c r="A172">
        <v>885</v>
      </c>
      <c r="B172" s="5">
        <v>43415</v>
      </c>
      <c r="C172" t="s">
        <v>92</v>
      </c>
      <c r="D172" s="40">
        <v>671</v>
      </c>
      <c r="F172">
        <v>619</v>
      </c>
      <c r="G172" s="41">
        <v>43362</v>
      </c>
      <c r="H172" t="str">
        <v>CA</v>
      </c>
      <c r="I172">
        <v>539</v>
      </c>
    </row>
    <row r="173" spans="1:9" x14ac:dyDescent="0.25">
      <c r="A173">
        <v>786</v>
      </c>
      <c r="B173" s="5">
        <v>43395</v>
      </c>
      <c r="C173" t="s">
        <v>94</v>
      </c>
      <c r="D173" s="40">
        <v>1004</v>
      </c>
      <c r="F173">
        <v>208</v>
      </c>
      <c r="G173" s="41">
        <v>43286</v>
      </c>
      <c r="H173" t="str">
        <v>TX</v>
      </c>
      <c r="I173">
        <v>1060</v>
      </c>
    </row>
    <row r="174" spans="1:9" x14ac:dyDescent="0.25">
      <c r="A174">
        <v>824</v>
      </c>
      <c r="B174" s="5">
        <v>43403</v>
      </c>
      <c r="C174" t="s">
        <v>92</v>
      </c>
      <c r="D174" s="40">
        <v>1523</v>
      </c>
      <c r="F174">
        <v>234</v>
      </c>
      <c r="G174" s="41">
        <v>43291</v>
      </c>
      <c r="H174" t="str">
        <v>TX</v>
      </c>
      <c r="I174">
        <v>1949</v>
      </c>
    </row>
    <row r="175" spans="1:9" x14ac:dyDescent="0.25">
      <c r="A175">
        <v>252</v>
      </c>
      <c r="B175" s="5">
        <v>43293</v>
      </c>
      <c r="C175" t="s">
        <v>94</v>
      </c>
      <c r="D175" s="40">
        <v>816</v>
      </c>
      <c r="F175">
        <v>288</v>
      </c>
      <c r="G175" s="41">
        <v>43298</v>
      </c>
      <c r="H175" t="str">
        <v>CA</v>
      </c>
      <c r="I175">
        <v>1616</v>
      </c>
    </row>
    <row r="176" spans="1:9" x14ac:dyDescent="0.25">
      <c r="A176">
        <v>63</v>
      </c>
      <c r="B176" s="5">
        <v>43261</v>
      </c>
      <c r="C176" t="s">
        <v>93</v>
      </c>
      <c r="D176" s="40">
        <v>1494</v>
      </c>
      <c r="F176">
        <v>472</v>
      </c>
      <c r="G176" s="41">
        <v>43333</v>
      </c>
      <c r="H176" t="str">
        <v>TX</v>
      </c>
      <c r="I176">
        <v>1924</v>
      </c>
    </row>
    <row r="177" spans="1:9" x14ac:dyDescent="0.25">
      <c r="A177">
        <v>791</v>
      </c>
      <c r="B177" s="5">
        <v>43396</v>
      </c>
      <c r="C177" t="s">
        <v>94</v>
      </c>
      <c r="D177" s="40">
        <v>830</v>
      </c>
      <c r="F177">
        <v>668</v>
      </c>
      <c r="G177" s="41">
        <v>43369</v>
      </c>
      <c r="H177" t="str">
        <v>NY</v>
      </c>
      <c r="I177">
        <v>1653</v>
      </c>
    </row>
    <row r="178" spans="1:9" x14ac:dyDescent="0.25">
      <c r="A178">
        <v>45</v>
      </c>
      <c r="B178" s="5">
        <v>43258</v>
      </c>
      <c r="C178" t="s">
        <v>94</v>
      </c>
      <c r="D178" s="40">
        <v>859</v>
      </c>
      <c r="F178">
        <v>801</v>
      </c>
      <c r="G178" s="41">
        <v>43398</v>
      </c>
      <c r="H178" t="str">
        <v>NY</v>
      </c>
      <c r="I178">
        <v>1302</v>
      </c>
    </row>
    <row r="179" spans="1:9" x14ac:dyDescent="0.25">
      <c r="A179">
        <v>795</v>
      </c>
      <c r="B179" s="5">
        <v>43397</v>
      </c>
      <c r="C179" t="s">
        <v>94</v>
      </c>
      <c r="D179" s="40">
        <v>971</v>
      </c>
      <c r="F179">
        <v>293</v>
      </c>
      <c r="G179" s="41">
        <v>43300</v>
      </c>
      <c r="H179" t="str">
        <v>CA</v>
      </c>
      <c r="I179">
        <v>1091</v>
      </c>
    </row>
    <row r="180" spans="1:9" x14ac:dyDescent="0.25">
      <c r="A180">
        <v>310</v>
      </c>
      <c r="B180" s="5">
        <v>43303</v>
      </c>
      <c r="C180" t="s">
        <v>92</v>
      </c>
      <c r="D180" s="40">
        <v>814</v>
      </c>
      <c r="F180">
        <v>997</v>
      </c>
      <c r="G180" s="41">
        <v>43434</v>
      </c>
      <c r="H180" t="str">
        <v>NY</v>
      </c>
      <c r="I180">
        <v>833</v>
      </c>
    </row>
    <row r="181" spans="1:9" x14ac:dyDescent="0.25">
      <c r="A181">
        <v>312</v>
      </c>
      <c r="B181" s="5">
        <v>43303</v>
      </c>
      <c r="C181" t="s">
        <v>93</v>
      </c>
      <c r="D181" s="40">
        <v>970</v>
      </c>
      <c r="F181">
        <v>667</v>
      </c>
      <c r="G181" s="41">
        <v>43369</v>
      </c>
      <c r="H181" t="str">
        <v>NY</v>
      </c>
      <c r="I181">
        <v>1179</v>
      </c>
    </row>
    <row r="182" spans="1:9" x14ac:dyDescent="0.25">
      <c r="A182">
        <v>731</v>
      </c>
      <c r="B182" s="5">
        <v>43385</v>
      </c>
      <c r="C182" t="s">
        <v>92</v>
      </c>
      <c r="D182" s="40">
        <v>514</v>
      </c>
      <c r="F182">
        <v>543</v>
      </c>
      <c r="G182" s="41">
        <v>43346</v>
      </c>
      <c r="H182" t="str">
        <v>TX</v>
      </c>
      <c r="I182">
        <v>766</v>
      </c>
    </row>
    <row r="183" spans="1:9" x14ac:dyDescent="0.25">
      <c r="A183">
        <v>121</v>
      </c>
      <c r="B183" s="5">
        <v>43271</v>
      </c>
      <c r="C183" t="s">
        <v>93</v>
      </c>
      <c r="D183" s="40">
        <v>1704</v>
      </c>
      <c r="F183">
        <v>632</v>
      </c>
      <c r="G183" s="41">
        <v>43365</v>
      </c>
      <c r="H183" t="str">
        <v>TX</v>
      </c>
      <c r="I183">
        <v>1798</v>
      </c>
    </row>
    <row r="184" spans="1:9" x14ac:dyDescent="0.25">
      <c r="A184">
        <v>592</v>
      </c>
      <c r="B184" s="5">
        <v>43355</v>
      </c>
      <c r="C184" t="s">
        <v>94</v>
      </c>
      <c r="D184" s="40">
        <v>642</v>
      </c>
      <c r="F184">
        <v>887</v>
      </c>
      <c r="G184" s="41">
        <v>43415</v>
      </c>
      <c r="H184" t="str">
        <v>TX</v>
      </c>
      <c r="I184">
        <v>1213</v>
      </c>
    </row>
    <row r="185" spans="1:9" x14ac:dyDescent="0.25">
      <c r="A185">
        <v>367</v>
      </c>
      <c r="B185" s="5">
        <v>43313</v>
      </c>
      <c r="C185" t="s">
        <v>94</v>
      </c>
      <c r="D185" s="40">
        <v>727</v>
      </c>
      <c r="F185">
        <v>736</v>
      </c>
      <c r="G185" s="41">
        <v>43386</v>
      </c>
      <c r="H185" t="str">
        <v>NY</v>
      </c>
      <c r="I185">
        <v>1374</v>
      </c>
    </row>
    <row r="186" spans="1:9" x14ac:dyDescent="0.25">
      <c r="A186">
        <v>488</v>
      </c>
      <c r="B186" s="5">
        <v>43335</v>
      </c>
      <c r="C186" t="s">
        <v>93</v>
      </c>
      <c r="D186" s="40">
        <v>587</v>
      </c>
      <c r="F186">
        <v>591</v>
      </c>
      <c r="G186" s="41">
        <v>43355</v>
      </c>
      <c r="H186" t="str">
        <v>NY</v>
      </c>
      <c r="I186">
        <v>797</v>
      </c>
    </row>
    <row r="187" spans="1:9" x14ac:dyDescent="0.25">
      <c r="A187">
        <v>913</v>
      </c>
      <c r="B187" s="5">
        <v>43420</v>
      </c>
      <c r="C187" t="s">
        <v>94</v>
      </c>
      <c r="D187" s="40">
        <v>1541</v>
      </c>
      <c r="F187">
        <v>366</v>
      </c>
      <c r="G187" s="41">
        <v>43313</v>
      </c>
      <c r="H187" t="str">
        <v>TX</v>
      </c>
      <c r="I187">
        <v>1742</v>
      </c>
    </row>
    <row r="188" spans="1:9" x14ac:dyDescent="0.25">
      <c r="A188">
        <v>759</v>
      </c>
      <c r="B188" s="5">
        <v>43389</v>
      </c>
      <c r="C188" t="s">
        <v>92</v>
      </c>
      <c r="D188" s="40">
        <v>664</v>
      </c>
      <c r="F188">
        <v>452</v>
      </c>
      <c r="G188" s="41">
        <v>43329</v>
      </c>
      <c r="H188" t="str">
        <v>NY</v>
      </c>
      <c r="I188">
        <v>1279</v>
      </c>
    </row>
    <row r="189" spans="1:9" x14ac:dyDescent="0.25">
      <c r="A189">
        <v>821</v>
      </c>
      <c r="B189" s="5">
        <v>43402</v>
      </c>
      <c r="C189" t="s">
        <v>93</v>
      </c>
      <c r="D189" s="40">
        <v>742</v>
      </c>
      <c r="F189">
        <v>780</v>
      </c>
      <c r="G189" s="41">
        <v>43393</v>
      </c>
      <c r="H189" t="str">
        <v>CA</v>
      </c>
      <c r="I189">
        <v>1541</v>
      </c>
    </row>
    <row r="190" spans="1:9" x14ac:dyDescent="0.25">
      <c r="A190">
        <v>574</v>
      </c>
      <c r="B190" s="5">
        <v>43351</v>
      </c>
      <c r="C190" t="s">
        <v>92</v>
      </c>
      <c r="D190" s="40">
        <v>980</v>
      </c>
      <c r="F190">
        <v>660</v>
      </c>
      <c r="G190" s="41">
        <v>43368</v>
      </c>
      <c r="H190" t="str">
        <v>TX</v>
      </c>
      <c r="I190">
        <v>1257</v>
      </c>
    </row>
    <row r="191" spans="1:9" x14ac:dyDescent="0.25">
      <c r="A191">
        <v>237</v>
      </c>
      <c r="B191" s="5">
        <v>43291</v>
      </c>
      <c r="C191" t="s">
        <v>94</v>
      </c>
      <c r="D191" s="40">
        <v>1919</v>
      </c>
      <c r="F191">
        <v>975</v>
      </c>
      <c r="G191" s="41">
        <v>43431</v>
      </c>
      <c r="H191" t="str">
        <v>NY</v>
      </c>
      <c r="I191">
        <v>1465</v>
      </c>
    </row>
    <row r="192" spans="1:9" x14ac:dyDescent="0.25">
      <c r="A192">
        <v>78</v>
      </c>
      <c r="B192" s="5">
        <v>43264</v>
      </c>
      <c r="C192" t="s">
        <v>93</v>
      </c>
      <c r="D192" s="40">
        <v>1528</v>
      </c>
      <c r="F192">
        <v>275</v>
      </c>
      <c r="G192" s="41">
        <v>43296</v>
      </c>
      <c r="H192" t="str">
        <v>CA</v>
      </c>
      <c r="I192">
        <v>954</v>
      </c>
    </row>
    <row r="193" spans="1:9" x14ac:dyDescent="0.25">
      <c r="A193">
        <v>906</v>
      </c>
      <c r="B193" s="5">
        <v>43419</v>
      </c>
      <c r="C193" t="s">
        <v>92</v>
      </c>
      <c r="D193" s="40">
        <v>1454</v>
      </c>
      <c r="F193">
        <v>946</v>
      </c>
      <c r="G193" s="41">
        <v>43425</v>
      </c>
      <c r="H193" t="str">
        <v>NY</v>
      </c>
      <c r="I193">
        <v>953</v>
      </c>
    </row>
    <row r="194" spans="1:9" x14ac:dyDescent="0.25">
      <c r="A194">
        <v>193</v>
      </c>
      <c r="B194" s="5">
        <v>43283</v>
      </c>
      <c r="C194" t="s">
        <v>93</v>
      </c>
      <c r="D194" s="40">
        <v>1012</v>
      </c>
      <c r="F194">
        <v>907</v>
      </c>
      <c r="G194" s="41">
        <v>43419</v>
      </c>
      <c r="H194" t="str">
        <v>TX</v>
      </c>
      <c r="I194">
        <v>1365</v>
      </c>
    </row>
    <row r="195" spans="1:9" x14ac:dyDescent="0.25">
      <c r="A195">
        <v>6</v>
      </c>
      <c r="B195" s="5">
        <v>43253</v>
      </c>
      <c r="C195" t="s">
        <v>93</v>
      </c>
      <c r="D195" s="40">
        <v>1385</v>
      </c>
      <c r="F195">
        <v>799</v>
      </c>
      <c r="G195" s="41">
        <v>43397</v>
      </c>
      <c r="H195" t="str">
        <v>CA</v>
      </c>
      <c r="I195">
        <v>1959</v>
      </c>
    </row>
    <row r="196" spans="1:9" x14ac:dyDescent="0.25">
      <c r="A196">
        <v>973</v>
      </c>
      <c r="B196" s="5">
        <v>43431</v>
      </c>
      <c r="C196" t="s">
        <v>92</v>
      </c>
      <c r="D196" s="40">
        <v>1224</v>
      </c>
      <c r="F196">
        <v>547</v>
      </c>
      <c r="G196" s="41">
        <v>43347</v>
      </c>
      <c r="H196" t="str">
        <v>TX</v>
      </c>
      <c r="I196">
        <v>1573</v>
      </c>
    </row>
    <row r="197" spans="1:9" x14ac:dyDescent="0.25">
      <c r="A197">
        <v>184</v>
      </c>
      <c r="B197" s="5">
        <v>43283</v>
      </c>
      <c r="C197" t="s">
        <v>92</v>
      </c>
      <c r="D197" s="40">
        <v>1701</v>
      </c>
      <c r="F197">
        <v>490</v>
      </c>
      <c r="G197" s="41">
        <v>43335</v>
      </c>
      <c r="H197" t="str">
        <v>CA</v>
      </c>
      <c r="I197">
        <v>1216</v>
      </c>
    </row>
    <row r="198" spans="1:9" x14ac:dyDescent="0.25">
      <c r="A198">
        <v>604</v>
      </c>
      <c r="B198" s="5">
        <v>43357</v>
      </c>
      <c r="C198" t="s">
        <v>93</v>
      </c>
      <c r="D198" s="40">
        <v>1589</v>
      </c>
      <c r="F198">
        <v>871</v>
      </c>
      <c r="G198" s="41">
        <v>43413</v>
      </c>
      <c r="H198" t="str">
        <v>CA</v>
      </c>
      <c r="I198">
        <v>820</v>
      </c>
    </row>
    <row r="199" spans="1:9" x14ac:dyDescent="0.25">
      <c r="A199">
        <v>171</v>
      </c>
      <c r="B199" s="5">
        <v>43279</v>
      </c>
      <c r="C199" t="s">
        <v>93</v>
      </c>
      <c r="D199" s="40">
        <v>1163</v>
      </c>
      <c r="F199">
        <v>212</v>
      </c>
      <c r="G199" s="41">
        <v>43287</v>
      </c>
      <c r="H199" t="str">
        <v>TX</v>
      </c>
      <c r="I199">
        <v>1687</v>
      </c>
    </row>
    <row r="200" spans="1:9" x14ac:dyDescent="0.25">
      <c r="A200">
        <v>177</v>
      </c>
      <c r="B200" s="5">
        <v>43281</v>
      </c>
      <c r="C200" t="s">
        <v>94</v>
      </c>
      <c r="D200" s="40">
        <v>1492</v>
      </c>
      <c r="F200">
        <v>221</v>
      </c>
      <c r="G200" s="41">
        <v>43288</v>
      </c>
      <c r="H200" t="str">
        <v>CA</v>
      </c>
      <c r="I200">
        <v>1653</v>
      </c>
    </row>
    <row r="201" spans="1:9" x14ac:dyDescent="0.25">
      <c r="A201">
        <v>262</v>
      </c>
      <c r="B201" s="5">
        <v>43295</v>
      </c>
      <c r="C201" t="s">
        <v>92</v>
      </c>
      <c r="D201" s="40">
        <v>1214</v>
      </c>
      <c r="F201">
        <v>900</v>
      </c>
      <c r="G201" s="41">
        <v>43418</v>
      </c>
      <c r="H201" t="str">
        <v>TX</v>
      </c>
      <c r="I201">
        <v>1710</v>
      </c>
    </row>
    <row r="202" spans="1:9" x14ac:dyDescent="0.25">
      <c r="A202">
        <v>685</v>
      </c>
      <c r="B202" s="5">
        <v>43376</v>
      </c>
      <c r="C202" t="s">
        <v>94</v>
      </c>
      <c r="D202" s="40">
        <v>1530</v>
      </c>
      <c r="F202">
        <v>897</v>
      </c>
      <c r="G202" s="41">
        <v>43417</v>
      </c>
      <c r="H202" t="str">
        <v>CA</v>
      </c>
      <c r="I202">
        <v>515</v>
      </c>
    </row>
    <row r="203" spans="1:9" x14ac:dyDescent="0.25">
      <c r="A203">
        <v>311</v>
      </c>
      <c r="B203" s="5">
        <v>43303</v>
      </c>
      <c r="C203" t="s">
        <v>93</v>
      </c>
      <c r="D203" s="40">
        <v>1350</v>
      </c>
      <c r="F203">
        <v>701</v>
      </c>
      <c r="G203" s="41">
        <v>43381</v>
      </c>
      <c r="H203" t="str">
        <v>CA</v>
      </c>
      <c r="I203">
        <v>1516</v>
      </c>
    </row>
    <row r="204" spans="1:9" x14ac:dyDescent="0.25">
      <c r="A204">
        <v>914</v>
      </c>
      <c r="B204" s="5">
        <v>43420</v>
      </c>
      <c r="C204" t="s">
        <v>92</v>
      </c>
      <c r="D204" s="40">
        <v>1536</v>
      </c>
      <c r="F204">
        <v>308</v>
      </c>
      <c r="G204" s="41">
        <v>43302</v>
      </c>
      <c r="H204" t="str">
        <v>NY</v>
      </c>
      <c r="I204">
        <v>1701</v>
      </c>
    </row>
    <row r="205" spans="1:9" x14ac:dyDescent="0.25">
      <c r="A205">
        <v>424</v>
      </c>
      <c r="B205" s="5">
        <v>43324</v>
      </c>
      <c r="C205" t="s">
        <v>92</v>
      </c>
      <c r="D205" s="40">
        <v>1613</v>
      </c>
      <c r="F205">
        <v>238</v>
      </c>
      <c r="G205" s="41">
        <v>43291</v>
      </c>
      <c r="H205" t="str">
        <v>TX</v>
      </c>
      <c r="I205">
        <v>1969</v>
      </c>
    </row>
    <row r="206" spans="1:9" x14ac:dyDescent="0.25">
      <c r="A206">
        <v>419</v>
      </c>
      <c r="B206" s="5">
        <v>43323</v>
      </c>
      <c r="C206" t="s">
        <v>93</v>
      </c>
      <c r="D206" s="40">
        <v>1024</v>
      </c>
      <c r="F206">
        <v>486</v>
      </c>
      <c r="G206" s="41">
        <v>43334</v>
      </c>
      <c r="H206" t="str">
        <v>NY</v>
      </c>
      <c r="I206">
        <v>870</v>
      </c>
    </row>
    <row r="207" spans="1:9" x14ac:dyDescent="0.25">
      <c r="A207">
        <v>137</v>
      </c>
      <c r="B207" s="5">
        <v>43273</v>
      </c>
      <c r="C207" t="s">
        <v>93</v>
      </c>
      <c r="D207" s="40">
        <v>1441</v>
      </c>
      <c r="F207">
        <v>546</v>
      </c>
      <c r="G207" s="41">
        <v>43347</v>
      </c>
      <c r="H207" t="str">
        <v>TX</v>
      </c>
      <c r="I207">
        <v>881</v>
      </c>
    </row>
    <row r="208" spans="1:9" x14ac:dyDescent="0.25">
      <c r="A208">
        <v>270</v>
      </c>
      <c r="B208" s="5">
        <v>43296</v>
      </c>
      <c r="C208" t="s">
        <v>92</v>
      </c>
      <c r="D208" s="40">
        <v>868</v>
      </c>
      <c r="F208">
        <v>583</v>
      </c>
      <c r="G208" s="41">
        <v>43354</v>
      </c>
      <c r="H208" t="str">
        <v>TX</v>
      </c>
      <c r="I208">
        <v>1211</v>
      </c>
    </row>
    <row r="209" spans="1:9" x14ac:dyDescent="0.25">
      <c r="A209">
        <v>294</v>
      </c>
      <c r="B209" s="5">
        <v>43300</v>
      </c>
      <c r="C209" t="s">
        <v>92</v>
      </c>
      <c r="D209" s="40">
        <v>982</v>
      </c>
      <c r="F209">
        <v>581</v>
      </c>
      <c r="G209" s="41">
        <v>43353</v>
      </c>
      <c r="H209" t="str">
        <v>NY</v>
      </c>
      <c r="I209">
        <v>832</v>
      </c>
    </row>
    <row r="210" spans="1:9" x14ac:dyDescent="0.25">
      <c r="A210">
        <v>123</v>
      </c>
      <c r="B210" s="5">
        <v>43271</v>
      </c>
      <c r="C210" t="s">
        <v>92</v>
      </c>
      <c r="D210" s="40">
        <v>1751</v>
      </c>
      <c r="F210">
        <v>392</v>
      </c>
      <c r="G210" s="41">
        <v>43318</v>
      </c>
      <c r="H210" t="str">
        <v>CA</v>
      </c>
      <c r="I210">
        <v>1528</v>
      </c>
    </row>
    <row r="211" spans="1:9" x14ac:dyDescent="0.25">
      <c r="A211">
        <v>521</v>
      </c>
      <c r="B211" s="5">
        <v>43343</v>
      </c>
      <c r="C211" t="s">
        <v>92</v>
      </c>
      <c r="D211" s="40">
        <v>1489</v>
      </c>
      <c r="F211">
        <v>811</v>
      </c>
      <c r="G211" s="41">
        <v>43401</v>
      </c>
      <c r="H211" t="str">
        <v>CA</v>
      </c>
      <c r="I211">
        <v>546</v>
      </c>
    </row>
    <row r="212" spans="1:9" x14ac:dyDescent="0.25">
      <c r="A212">
        <v>802</v>
      </c>
      <c r="B212" s="5">
        <v>43398</v>
      </c>
      <c r="C212" t="s">
        <v>94</v>
      </c>
      <c r="D212" s="40">
        <v>1502</v>
      </c>
      <c r="F212">
        <v>813</v>
      </c>
      <c r="G212" s="41">
        <v>43401</v>
      </c>
      <c r="H212" t="str">
        <v>NY</v>
      </c>
      <c r="I212">
        <v>1891</v>
      </c>
    </row>
    <row r="213" spans="1:9" x14ac:dyDescent="0.25">
      <c r="A213">
        <v>892</v>
      </c>
      <c r="B213" s="5">
        <v>43416</v>
      </c>
      <c r="C213" t="s">
        <v>92</v>
      </c>
      <c r="D213" s="40">
        <v>1266</v>
      </c>
      <c r="F213">
        <v>927</v>
      </c>
      <c r="G213" s="41">
        <v>43422</v>
      </c>
      <c r="H213" t="str">
        <v>TX</v>
      </c>
      <c r="I213">
        <v>1204</v>
      </c>
    </row>
    <row r="214" spans="1:9" x14ac:dyDescent="0.25">
      <c r="A214">
        <v>610</v>
      </c>
      <c r="B214" s="5">
        <v>43359</v>
      </c>
      <c r="C214" t="s">
        <v>93</v>
      </c>
      <c r="D214" s="40">
        <v>757</v>
      </c>
      <c r="F214">
        <v>562</v>
      </c>
      <c r="G214" s="41">
        <v>43348</v>
      </c>
      <c r="H214" t="str">
        <v>TX</v>
      </c>
      <c r="I214">
        <v>1229</v>
      </c>
    </row>
    <row r="215" spans="1:9" x14ac:dyDescent="0.25">
      <c r="A215">
        <v>464</v>
      </c>
      <c r="B215" s="5">
        <v>43332</v>
      </c>
      <c r="C215" t="s">
        <v>92</v>
      </c>
      <c r="D215" s="40">
        <v>1188</v>
      </c>
      <c r="F215">
        <v>937</v>
      </c>
      <c r="G215" s="41">
        <v>43423</v>
      </c>
      <c r="H215" t="str">
        <v>TX</v>
      </c>
      <c r="I215">
        <v>1554</v>
      </c>
    </row>
    <row r="216" spans="1:9" x14ac:dyDescent="0.25">
      <c r="A216">
        <v>266</v>
      </c>
      <c r="B216" s="5">
        <v>43296</v>
      </c>
      <c r="C216" t="s">
        <v>93</v>
      </c>
      <c r="D216" s="40">
        <v>993</v>
      </c>
      <c r="F216">
        <v>794</v>
      </c>
      <c r="G216" s="41">
        <v>43396</v>
      </c>
      <c r="H216" t="str">
        <v>CA</v>
      </c>
      <c r="I216">
        <v>1375</v>
      </c>
    </row>
    <row r="217" spans="1:9" x14ac:dyDescent="0.25">
      <c r="A217">
        <v>27</v>
      </c>
      <c r="B217" s="5">
        <v>43255</v>
      </c>
      <c r="C217" t="s">
        <v>94</v>
      </c>
      <c r="D217" s="40">
        <v>1560</v>
      </c>
      <c r="F217">
        <v>345</v>
      </c>
      <c r="G217" s="41">
        <v>43310</v>
      </c>
      <c r="H217" t="str">
        <v>TX</v>
      </c>
      <c r="I217">
        <v>1857</v>
      </c>
    </row>
    <row r="218" spans="1:9" x14ac:dyDescent="0.25">
      <c r="A218">
        <v>976</v>
      </c>
      <c r="B218" s="5">
        <v>43431</v>
      </c>
      <c r="C218" t="s">
        <v>93</v>
      </c>
      <c r="D218" s="40">
        <v>1894</v>
      </c>
      <c r="F218">
        <v>183</v>
      </c>
      <c r="G218" s="41">
        <v>43283</v>
      </c>
      <c r="H218" t="str">
        <v>CA</v>
      </c>
      <c r="I218">
        <v>1134</v>
      </c>
    </row>
    <row r="219" spans="1:9" x14ac:dyDescent="0.25">
      <c r="A219">
        <v>397</v>
      </c>
      <c r="B219" s="5">
        <v>43319</v>
      </c>
      <c r="C219" t="s">
        <v>94</v>
      </c>
      <c r="D219" s="40">
        <v>1824</v>
      </c>
      <c r="F219">
        <v>197</v>
      </c>
      <c r="G219" s="41">
        <v>43284</v>
      </c>
      <c r="H219" t="str">
        <v>CA</v>
      </c>
      <c r="I219">
        <v>728</v>
      </c>
    </row>
    <row r="220" spans="1:9" x14ac:dyDescent="0.25">
      <c r="A220">
        <v>96</v>
      </c>
      <c r="B220" s="5">
        <v>43267</v>
      </c>
      <c r="C220" t="s">
        <v>93</v>
      </c>
      <c r="D220" s="40">
        <v>1670</v>
      </c>
      <c r="F220">
        <v>524</v>
      </c>
      <c r="G220" s="41">
        <v>43343</v>
      </c>
      <c r="H220" t="str">
        <v>CA</v>
      </c>
      <c r="I220">
        <v>951</v>
      </c>
    </row>
    <row r="221" spans="1:9" x14ac:dyDescent="0.25">
      <c r="A221">
        <v>833</v>
      </c>
      <c r="B221" s="5">
        <v>43407</v>
      </c>
      <c r="C221" t="s">
        <v>94</v>
      </c>
      <c r="D221" s="40">
        <v>636</v>
      </c>
      <c r="F221">
        <v>210</v>
      </c>
      <c r="G221" s="41">
        <v>43286</v>
      </c>
      <c r="H221" t="str">
        <v>TX</v>
      </c>
      <c r="I221">
        <v>564</v>
      </c>
    </row>
    <row r="222" spans="1:9" x14ac:dyDescent="0.25">
      <c r="A222">
        <v>372</v>
      </c>
      <c r="B222" s="5">
        <v>43314</v>
      </c>
      <c r="C222" t="s">
        <v>92</v>
      </c>
      <c r="D222" s="40">
        <v>1522</v>
      </c>
      <c r="F222">
        <v>688</v>
      </c>
      <c r="G222" s="41">
        <v>43377</v>
      </c>
      <c r="H222" t="str">
        <v>CA</v>
      </c>
      <c r="I222">
        <v>537</v>
      </c>
    </row>
    <row r="223" spans="1:9" x14ac:dyDescent="0.25">
      <c r="A223">
        <v>619</v>
      </c>
      <c r="B223" s="5">
        <v>43362</v>
      </c>
      <c r="C223" t="s">
        <v>92</v>
      </c>
      <c r="D223" s="40">
        <v>539</v>
      </c>
      <c r="F223">
        <v>645</v>
      </c>
      <c r="G223" s="41">
        <v>43366</v>
      </c>
      <c r="H223" t="str">
        <v>TX</v>
      </c>
      <c r="I223">
        <v>1621</v>
      </c>
    </row>
    <row r="224" spans="1:9" x14ac:dyDescent="0.25">
      <c r="A224">
        <v>208</v>
      </c>
      <c r="B224" s="5">
        <v>43286</v>
      </c>
      <c r="C224" t="s">
        <v>94</v>
      </c>
      <c r="D224" s="40">
        <v>1060</v>
      </c>
      <c r="F224">
        <v>888</v>
      </c>
      <c r="G224" s="41">
        <v>43416</v>
      </c>
      <c r="H224" t="str">
        <v>CA</v>
      </c>
      <c r="I224">
        <v>1089</v>
      </c>
    </row>
    <row r="225" spans="1:9" x14ac:dyDescent="0.25">
      <c r="A225">
        <v>234</v>
      </c>
      <c r="B225" s="5">
        <v>43291</v>
      </c>
      <c r="C225" t="s">
        <v>94</v>
      </c>
      <c r="D225" s="40">
        <v>1949</v>
      </c>
      <c r="F225">
        <v>540</v>
      </c>
      <c r="G225" s="41">
        <v>43345</v>
      </c>
      <c r="H225" t="str">
        <v>NY</v>
      </c>
      <c r="I225">
        <v>1125</v>
      </c>
    </row>
    <row r="226" spans="1:9" x14ac:dyDescent="0.25">
      <c r="A226">
        <v>288</v>
      </c>
      <c r="B226" s="5">
        <v>43298</v>
      </c>
      <c r="C226" t="s">
        <v>92</v>
      </c>
      <c r="D226" s="40">
        <v>1616</v>
      </c>
      <c r="F226">
        <v>198</v>
      </c>
      <c r="G226" s="41">
        <v>43284</v>
      </c>
      <c r="H226" t="str">
        <v>TX</v>
      </c>
      <c r="I226">
        <v>1700</v>
      </c>
    </row>
    <row r="227" spans="1:9" x14ac:dyDescent="0.25">
      <c r="A227">
        <v>472</v>
      </c>
      <c r="B227" s="5">
        <v>43333</v>
      </c>
      <c r="C227" t="s">
        <v>94</v>
      </c>
      <c r="D227" s="40">
        <v>1924</v>
      </c>
      <c r="F227">
        <v>287</v>
      </c>
      <c r="G227" s="41">
        <v>43298</v>
      </c>
      <c r="H227" t="str">
        <v>TX</v>
      </c>
      <c r="I227">
        <v>728</v>
      </c>
    </row>
    <row r="228" spans="1:9" x14ac:dyDescent="0.25">
      <c r="A228">
        <v>668</v>
      </c>
      <c r="B228" s="5">
        <v>43369</v>
      </c>
      <c r="C228" t="s">
        <v>93</v>
      </c>
      <c r="D228" s="40">
        <v>1653</v>
      </c>
      <c r="F228">
        <v>674</v>
      </c>
      <c r="G228" s="41">
        <v>43372</v>
      </c>
      <c r="H228" t="str">
        <v>NY</v>
      </c>
      <c r="I228">
        <v>857</v>
      </c>
    </row>
    <row r="229" spans="1:9" x14ac:dyDescent="0.25">
      <c r="A229">
        <v>801</v>
      </c>
      <c r="B229" s="5">
        <v>43398</v>
      </c>
      <c r="C229" t="s">
        <v>93</v>
      </c>
      <c r="D229" s="40">
        <v>1302</v>
      </c>
      <c r="F229">
        <v>652</v>
      </c>
      <c r="G229" s="41">
        <v>43367</v>
      </c>
      <c r="H229" t="str">
        <v>TX</v>
      </c>
      <c r="I229">
        <v>1675</v>
      </c>
    </row>
    <row r="230" spans="1:9" x14ac:dyDescent="0.25">
      <c r="A230">
        <v>293</v>
      </c>
      <c r="B230" s="5">
        <v>43300</v>
      </c>
      <c r="C230" t="s">
        <v>92</v>
      </c>
      <c r="D230" s="40">
        <v>1091</v>
      </c>
      <c r="F230">
        <v>190</v>
      </c>
      <c r="G230" s="41">
        <v>43283</v>
      </c>
      <c r="H230" t="str">
        <v>NY</v>
      </c>
      <c r="I230">
        <v>1281</v>
      </c>
    </row>
    <row r="231" spans="1:9" x14ac:dyDescent="0.25">
      <c r="A231">
        <v>997</v>
      </c>
      <c r="B231" s="5">
        <v>43434</v>
      </c>
      <c r="C231" t="s">
        <v>93</v>
      </c>
      <c r="D231" s="40">
        <v>833</v>
      </c>
      <c r="F231">
        <v>923</v>
      </c>
      <c r="G231" s="41">
        <v>43421</v>
      </c>
      <c r="H231" t="str">
        <v>TX</v>
      </c>
      <c r="I231">
        <v>1957</v>
      </c>
    </row>
    <row r="232" spans="1:9" x14ac:dyDescent="0.25">
      <c r="A232">
        <v>667</v>
      </c>
      <c r="B232" s="5">
        <v>43369</v>
      </c>
      <c r="C232" t="s">
        <v>93</v>
      </c>
      <c r="D232" s="40">
        <v>1179</v>
      </c>
      <c r="F232">
        <v>539</v>
      </c>
      <c r="G232" s="41">
        <v>43345</v>
      </c>
      <c r="H232" t="str">
        <v>NY</v>
      </c>
      <c r="I232">
        <v>1134</v>
      </c>
    </row>
    <row r="233" spans="1:9" x14ac:dyDescent="0.25">
      <c r="A233">
        <v>543</v>
      </c>
      <c r="B233" s="5">
        <v>43346</v>
      </c>
      <c r="C233" t="s">
        <v>94</v>
      </c>
      <c r="D233" s="40">
        <v>766</v>
      </c>
      <c r="F233">
        <v>711</v>
      </c>
      <c r="G233" s="41">
        <v>43382</v>
      </c>
      <c r="H233" t="str">
        <v>NY</v>
      </c>
      <c r="I233">
        <v>726</v>
      </c>
    </row>
    <row r="234" spans="1:9" x14ac:dyDescent="0.25">
      <c r="A234">
        <v>632</v>
      </c>
      <c r="B234" s="5">
        <v>43365</v>
      </c>
      <c r="C234" t="s">
        <v>94</v>
      </c>
      <c r="D234" s="40">
        <v>1798</v>
      </c>
      <c r="F234">
        <v>265</v>
      </c>
      <c r="G234" s="41">
        <v>43296</v>
      </c>
      <c r="H234" t="str">
        <v>CA</v>
      </c>
      <c r="I234">
        <v>1594</v>
      </c>
    </row>
    <row r="235" spans="1:9" x14ac:dyDescent="0.25">
      <c r="A235">
        <v>887</v>
      </c>
      <c r="B235" s="5">
        <v>43415</v>
      </c>
      <c r="C235" t="s">
        <v>94</v>
      </c>
      <c r="D235" s="40">
        <v>1213</v>
      </c>
      <c r="F235">
        <v>386</v>
      </c>
      <c r="G235" s="41">
        <v>43317</v>
      </c>
      <c r="H235" t="str">
        <v>TX</v>
      </c>
      <c r="I235">
        <v>1513</v>
      </c>
    </row>
    <row r="236" spans="1:9" x14ac:dyDescent="0.25">
      <c r="A236">
        <v>736</v>
      </c>
      <c r="B236" s="5">
        <v>43386</v>
      </c>
      <c r="C236" t="s">
        <v>93</v>
      </c>
      <c r="D236" s="40">
        <v>1374</v>
      </c>
      <c r="F236">
        <v>609</v>
      </c>
      <c r="G236" s="41">
        <v>43358</v>
      </c>
      <c r="H236" t="str">
        <v>TX</v>
      </c>
      <c r="I236">
        <v>1708</v>
      </c>
    </row>
    <row r="237" spans="1:9" x14ac:dyDescent="0.25">
      <c r="A237">
        <v>591</v>
      </c>
      <c r="B237" s="5">
        <v>43355</v>
      </c>
      <c r="C237" t="s">
        <v>93</v>
      </c>
      <c r="D237" s="40">
        <v>797</v>
      </c>
      <c r="F237">
        <v>263</v>
      </c>
      <c r="G237" s="41">
        <v>43295</v>
      </c>
      <c r="H237" t="str">
        <v>NY</v>
      </c>
      <c r="I237">
        <v>1157</v>
      </c>
    </row>
    <row r="238" spans="1:9" x14ac:dyDescent="0.25">
      <c r="A238">
        <v>366</v>
      </c>
      <c r="B238" s="5">
        <v>43313</v>
      </c>
      <c r="C238" t="s">
        <v>94</v>
      </c>
      <c r="D238" s="40">
        <v>1742</v>
      </c>
      <c r="F238">
        <v>289</v>
      </c>
      <c r="G238" s="41">
        <v>43299</v>
      </c>
      <c r="H238" t="str">
        <v>NY</v>
      </c>
      <c r="I238">
        <v>1642</v>
      </c>
    </row>
    <row r="239" spans="1:9" x14ac:dyDescent="0.25">
      <c r="A239">
        <v>161</v>
      </c>
      <c r="B239" s="5">
        <v>43278</v>
      </c>
      <c r="C239" t="s">
        <v>94</v>
      </c>
      <c r="D239" s="40">
        <v>1370</v>
      </c>
      <c r="F239">
        <v>678</v>
      </c>
      <c r="G239" s="41">
        <v>43373</v>
      </c>
      <c r="H239" t="str">
        <v>CA</v>
      </c>
      <c r="I239">
        <v>589</v>
      </c>
    </row>
    <row r="240" spans="1:9" x14ac:dyDescent="0.25">
      <c r="A240">
        <v>84</v>
      </c>
      <c r="B240" s="5">
        <v>43265</v>
      </c>
      <c r="C240" t="s">
        <v>92</v>
      </c>
      <c r="D240" s="40">
        <v>738</v>
      </c>
      <c r="F240">
        <v>863</v>
      </c>
      <c r="G240" s="41">
        <v>43411</v>
      </c>
      <c r="H240" t="str">
        <v>CA</v>
      </c>
      <c r="I240">
        <v>846</v>
      </c>
    </row>
    <row r="241" spans="1:9" x14ac:dyDescent="0.25">
      <c r="A241">
        <v>452</v>
      </c>
      <c r="B241" s="5">
        <v>43329</v>
      </c>
      <c r="C241" t="s">
        <v>93</v>
      </c>
      <c r="D241" s="40">
        <v>1279</v>
      </c>
      <c r="F241">
        <v>447</v>
      </c>
      <c r="G241" s="41">
        <v>43328</v>
      </c>
      <c r="H241" t="str">
        <v>TX</v>
      </c>
      <c r="I241">
        <v>753</v>
      </c>
    </row>
    <row r="242" spans="1:9" x14ac:dyDescent="0.25">
      <c r="A242">
        <v>780</v>
      </c>
      <c r="B242" s="5">
        <v>43393</v>
      </c>
      <c r="C242" t="s">
        <v>92</v>
      </c>
      <c r="D242" s="40">
        <v>1541</v>
      </c>
      <c r="F242">
        <v>696</v>
      </c>
      <c r="G242" s="41">
        <v>43378</v>
      </c>
      <c r="H242" t="str">
        <v>TX</v>
      </c>
      <c r="I242">
        <v>669</v>
      </c>
    </row>
    <row r="243" spans="1:9" x14ac:dyDescent="0.25">
      <c r="A243">
        <v>660</v>
      </c>
      <c r="B243" s="5">
        <v>43368</v>
      </c>
      <c r="C243" t="s">
        <v>94</v>
      </c>
      <c r="D243" s="40">
        <v>1257</v>
      </c>
      <c r="F243">
        <v>484</v>
      </c>
      <c r="G243" s="41">
        <v>43334</v>
      </c>
      <c r="H243" t="str">
        <v>NY</v>
      </c>
      <c r="I243">
        <v>1373</v>
      </c>
    </row>
    <row r="244" spans="1:9" x14ac:dyDescent="0.25">
      <c r="A244">
        <v>975</v>
      </c>
      <c r="B244" s="5">
        <v>43431</v>
      </c>
      <c r="C244" t="s">
        <v>93</v>
      </c>
      <c r="D244" s="40">
        <v>1465</v>
      </c>
      <c r="F244">
        <v>932</v>
      </c>
      <c r="G244" s="41">
        <v>43423</v>
      </c>
      <c r="H244" t="str">
        <v>TX</v>
      </c>
      <c r="I244">
        <v>1399</v>
      </c>
    </row>
    <row r="245" spans="1:9" x14ac:dyDescent="0.25">
      <c r="A245">
        <v>98</v>
      </c>
      <c r="B245" s="5">
        <v>43268</v>
      </c>
      <c r="C245" t="s">
        <v>92</v>
      </c>
      <c r="D245" s="40">
        <v>1284</v>
      </c>
      <c r="F245">
        <v>268</v>
      </c>
      <c r="G245" s="41">
        <v>43296</v>
      </c>
      <c r="H245" t="str">
        <v>NY</v>
      </c>
      <c r="I245">
        <v>1493</v>
      </c>
    </row>
    <row r="246" spans="1:9" x14ac:dyDescent="0.25">
      <c r="A246">
        <v>275</v>
      </c>
      <c r="B246" s="5">
        <v>43296</v>
      </c>
      <c r="C246" t="s">
        <v>92</v>
      </c>
      <c r="D246" s="40">
        <v>954</v>
      </c>
      <c r="F246">
        <v>764</v>
      </c>
      <c r="G246" s="41">
        <v>43391</v>
      </c>
      <c r="H246" t="str">
        <v>TX</v>
      </c>
      <c r="I246">
        <v>1357</v>
      </c>
    </row>
    <row r="247" spans="1:9" x14ac:dyDescent="0.25">
      <c r="A247">
        <v>946</v>
      </c>
      <c r="B247" s="5">
        <v>43425</v>
      </c>
      <c r="C247" t="s">
        <v>93</v>
      </c>
      <c r="D247" s="40">
        <v>953</v>
      </c>
      <c r="F247">
        <v>726</v>
      </c>
      <c r="G247" s="41">
        <v>43385</v>
      </c>
      <c r="H247" t="str">
        <v>NY</v>
      </c>
      <c r="I247">
        <v>1662</v>
      </c>
    </row>
    <row r="248" spans="1:9" x14ac:dyDescent="0.25">
      <c r="A248">
        <v>907</v>
      </c>
      <c r="B248" s="5">
        <v>43419</v>
      </c>
      <c r="C248" t="s">
        <v>94</v>
      </c>
      <c r="D248" s="40">
        <v>1365</v>
      </c>
      <c r="F248">
        <v>495</v>
      </c>
      <c r="G248" s="41">
        <v>43338</v>
      </c>
      <c r="H248" t="str">
        <v>TX</v>
      </c>
      <c r="I248">
        <v>1343</v>
      </c>
    </row>
    <row r="249" spans="1:9" x14ac:dyDescent="0.25">
      <c r="A249">
        <v>28</v>
      </c>
      <c r="B249" s="5">
        <v>43255</v>
      </c>
      <c r="C249" t="s">
        <v>93</v>
      </c>
      <c r="D249" s="40">
        <v>1461</v>
      </c>
      <c r="F249">
        <v>864</v>
      </c>
      <c r="G249" s="41">
        <v>43411</v>
      </c>
      <c r="H249" t="str">
        <v>CA</v>
      </c>
      <c r="I249">
        <v>559</v>
      </c>
    </row>
    <row r="250" spans="1:9" x14ac:dyDescent="0.25">
      <c r="A250">
        <v>799</v>
      </c>
      <c r="B250" s="5">
        <v>43397</v>
      </c>
      <c r="C250" t="s">
        <v>92</v>
      </c>
      <c r="D250" s="40">
        <v>1959</v>
      </c>
      <c r="F250">
        <v>359</v>
      </c>
      <c r="G250" s="41">
        <v>43311</v>
      </c>
      <c r="H250" t="str">
        <v>TX</v>
      </c>
      <c r="I250">
        <v>773</v>
      </c>
    </row>
    <row r="251" spans="1:9" x14ac:dyDescent="0.25">
      <c r="A251">
        <v>182</v>
      </c>
      <c r="B251" s="5">
        <v>43282</v>
      </c>
      <c r="C251" t="s">
        <v>92</v>
      </c>
      <c r="D251" s="40">
        <v>1257</v>
      </c>
      <c r="F251">
        <v>259</v>
      </c>
      <c r="G251" s="41">
        <v>43295</v>
      </c>
      <c r="H251" t="str">
        <v>NY</v>
      </c>
      <c r="I251">
        <v>755</v>
      </c>
    </row>
    <row r="252" spans="1:9" x14ac:dyDescent="0.25">
      <c r="A252">
        <v>547</v>
      </c>
      <c r="B252" s="5">
        <v>43347</v>
      </c>
      <c r="C252" t="s">
        <v>94</v>
      </c>
      <c r="D252" s="40">
        <v>1573</v>
      </c>
      <c r="F252">
        <v>730</v>
      </c>
      <c r="G252" s="41">
        <v>43385</v>
      </c>
      <c r="H252" t="str">
        <v>NY</v>
      </c>
      <c r="I252">
        <v>1623</v>
      </c>
    </row>
    <row r="253" spans="1:9" x14ac:dyDescent="0.25">
      <c r="A253">
        <v>39</v>
      </c>
      <c r="B253" s="5">
        <v>43257</v>
      </c>
      <c r="C253" t="s">
        <v>92</v>
      </c>
      <c r="D253" s="40">
        <v>1831</v>
      </c>
      <c r="F253">
        <v>784</v>
      </c>
      <c r="G253" s="41">
        <v>43394</v>
      </c>
      <c r="H253" t="str">
        <v>NY</v>
      </c>
      <c r="I253">
        <v>1362</v>
      </c>
    </row>
    <row r="254" spans="1:9" x14ac:dyDescent="0.25">
      <c r="A254">
        <v>131</v>
      </c>
      <c r="B254" s="5">
        <v>43273</v>
      </c>
      <c r="C254" t="s">
        <v>93</v>
      </c>
      <c r="D254" s="40">
        <v>1850</v>
      </c>
      <c r="F254">
        <v>578</v>
      </c>
      <c r="G254" s="41">
        <v>43352</v>
      </c>
      <c r="H254" t="str">
        <v>NY</v>
      </c>
      <c r="I254">
        <v>1406</v>
      </c>
    </row>
    <row r="255" spans="1:9" x14ac:dyDescent="0.25">
      <c r="A255">
        <v>490</v>
      </c>
      <c r="B255" s="5">
        <v>43335</v>
      </c>
      <c r="C255" t="s">
        <v>92</v>
      </c>
      <c r="D255" s="40">
        <v>1216</v>
      </c>
      <c r="F255">
        <v>979</v>
      </c>
      <c r="G255" s="41">
        <v>43432</v>
      </c>
      <c r="H255" t="str">
        <v>NY</v>
      </c>
      <c r="I255">
        <v>1129</v>
      </c>
    </row>
    <row r="256" spans="1:9" x14ac:dyDescent="0.25">
      <c r="A256">
        <v>871</v>
      </c>
      <c r="B256" s="5">
        <v>43413</v>
      </c>
      <c r="C256" t="s">
        <v>92</v>
      </c>
      <c r="D256" s="40">
        <v>820</v>
      </c>
      <c r="F256">
        <v>395</v>
      </c>
      <c r="G256" s="41">
        <v>43318</v>
      </c>
      <c r="H256" t="str">
        <v>TX</v>
      </c>
      <c r="I256">
        <v>1423</v>
      </c>
    </row>
    <row r="257" spans="1:9" x14ac:dyDescent="0.25">
      <c r="A257">
        <v>212</v>
      </c>
      <c r="B257" s="5">
        <v>43287</v>
      </c>
      <c r="C257" t="s">
        <v>94</v>
      </c>
      <c r="D257" s="40">
        <v>1687</v>
      </c>
      <c r="F257">
        <v>753</v>
      </c>
      <c r="G257" s="41">
        <v>43388</v>
      </c>
      <c r="H257" t="str">
        <v>CA</v>
      </c>
      <c r="I257">
        <v>690</v>
      </c>
    </row>
    <row r="258" spans="1:9" x14ac:dyDescent="0.25">
      <c r="A258">
        <v>221</v>
      </c>
      <c r="B258" s="5">
        <v>43288</v>
      </c>
      <c r="C258" t="s">
        <v>92</v>
      </c>
      <c r="D258" s="40">
        <v>1653</v>
      </c>
      <c r="F258">
        <v>305</v>
      </c>
      <c r="G258" s="41">
        <v>43301</v>
      </c>
      <c r="H258" t="str">
        <v>TX</v>
      </c>
      <c r="I258">
        <v>957</v>
      </c>
    </row>
    <row r="259" spans="1:9" x14ac:dyDescent="0.25">
      <c r="A259">
        <v>900</v>
      </c>
      <c r="B259" s="5">
        <v>43418</v>
      </c>
      <c r="C259" t="s">
        <v>94</v>
      </c>
      <c r="D259" s="40">
        <v>1710</v>
      </c>
      <c r="F259">
        <v>331</v>
      </c>
      <c r="G259" s="41">
        <v>43306</v>
      </c>
      <c r="H259" t="str">
        <v>CA</v>
      </c>
      <c r="I259">
        <v>1088</v>
      </c>
    </row>
    <row r="260" spans="1:9" x14ac:dyDescent="0.25">
      <c r="A260">
        <v>146</v>
      </c>
      <c r="B260" s="5">
        <v>43275</v>
      </c>
      <c r="C260" t="s">
        <v>92</v>
      </c>
      <c r="D260" s="40">
        <v>836</v>
      </c>
      <c r="F260">
        <v>328</v>
      </c>
      <c r="G260" s="41">
        <v>43305</v>
      </c>
      <c r="H260" t="str">
        <v>TX</v>
      </c>
      <c r="I260">
        <v>1050</v>
      </c>
    </row>
    <row r="261" spans="1:9" x14ac:dyDescent="0.25">
      <c r="A261">
        <v>897</v>
      </c>
      <c r="B261" s="5">
        <v>43417</v>
      </c>
      <c r="C261" t="s">
        <v>92</v>
      </c>
      <c r="D261" s="40">
        <v>515</v>
      </c>
      <c r="F261">
        <v>915</v>
      </c>
      <c r="G261" s="41">
        <v>43420</v>
      </c>
      <c r="H261" t="str">
        <v>NY</v>
      </c>
      <c r="I261">
        <v>1672</v>
      </c>
    </row>
    <row r="262" spans="1:9" x14ac:dyDescent="0.25">
      <c r="A262">
        <v>701</v>
      </c>
      <c r="B262" s="5">
        <v>43381</v>
      </c>
      <c r="C262" t="s">
        <v>92</v>
      </c>
      <c r="D262" s="40">
        <v>1516</v>
      </c>
      <c r="F262">
        <v>284</v>
      </c>
      <c r="G262" s="41">
        <v>43298</v>
      </c>
      <c r="H262" t="str">
        <v>NY</v>
      </c>
      <c r="I262">
        <v>577</v>
      </c>
    </row>
    <row r="263" spans="1:9" x14ac:dyDescent="0.25">
      <c r="A263">
        <v>308</v>
      </c>
      <c r="B263" s="5">
        <v>43302</v>
      </c>
      <c r="C263" t="s">
        <v>93</v>
      </c>
      <c r="D263" s="40">
        <v>1701</v>
      </c>
      <c r="F263">
        <v>643</v>
      </c>
      <c r="G263" s="41">
        <v>43366</v>
      </c>
      <c r="H263" t="str">
        <v>NY</v>
      </c>
      <c r="I263">
        <v>863</v>
      </c>
    </row>
    <row r="264" spans="1:9" x14ac:dyDescent="0.25">
      <c r="A264">
        <v>238</v>
      </c>
      <c r="B264" s="5">
        <v>43291</v>
      </c>
      <c r="C264" t="s">
        <v>94</v>
      </c>
      <c r="D264" s="40">
        <v>1969</v>
      </c>
      <c r="F264">
        <v>483</v>
      </c>
      <c r="G264" s="41">
        <v>43334</v>
      </c>
      <c r="H264" t="str">
        <v>NY</v>
      </c>
      <c r="I264">
        <v>1026</v>
      </c>
    </row>
    <row r="265" spans="1:9" x14ac:dyDescent="0.25">
      <c r="A265">
        <v>35</v>
      </c>
      <c r="B265" s="5">
        <v>43257</v>
      </c>
      <c r="C265" t="s">
        <v>94</v>
      </c>
      <c r="D265" s="40">
        <v>1117</v>
      </c>
      <c r="F265">
        <v>974</v>
      </c>
      <c r="G265" s="41">
        <v>43431</v>
      </c>
      <c r="H265" t="str">
        <v>NY</v>
      </c>
      <c r="I265">
        <v>1369</v>
      </c>
    </row>
    <row r="266" spans="1:9" x14ac:dyDescent="0.25">
      <c r="A266">
        <v>486</v>
      </c>
      <c r="B266" s="5">
        <v>43334</v>
      </c>
      <c r="C266" t="s">
        <v>93</v>
      </c>
      <c r="D266" s="40">
        <v>870</v>
      </c>
      <c r="F266">
        <v>564</v>
      </c>
      <c r="G266" s="41">
        <v>43349</v>
      </c>
      <c r="H266" t="str">
        <v>CA</v>
      </c>
      <c r="I266">
        <v>1196</v>
      </c>
    </row>
    <row r="267" spans="1:9" x14ac:dyDescent="0.25">
      <c r="A267">
        <v>546</v>
      </c>
      <c r="B267" s="5">
        <v>43347</v>
      </c>
      <c r="C267" t="s">
        <v>94</v>
      </c>
      <c r="D267" s="40">
        <v>881</v>
      </c>
      <c r="F267">
        <v>969</v>
      </c>
      <c r="G267" s="41">
        <v>43429</v>
      </c>
      <c r="H267" t="str">
        <v>TX</v>
      </c>
      <c r="I267">
        <v>1543</v>
      </c>
    </row>
    <row r="268" spans="1:9" x14ac:dyDescent="0.25">
      <c r="A268">
        <v>583</v>
      </c>
      <c r="B268" s="5">
        <v>43354</v>
      </c>
      <c r="C268" t="s">
        <v>94</v>
      </c>
      <c r="D268" s="40">
        <v>1211</v>
      </c>
      <c r="F268">
        <v>918</v>
      </c>
      <c r="G268" s="41">
        <v>43420</v>
      </c>
      <c r="H268" t="str">
        <v>TX</v>
      </c>
      <c r="I268">
        <v>1219</v>
      </c>
    </row>
    <row r="269" spans="1:9" x14ac:dyDescent="0.25">
      <c r="A269">
        <v>581</v>
      </c>
      <c r="B269" s="5">
        <v>43353</v>
      </c>
      <c r="C269" t="s">
        <v>93</v>
      </c>
      <c r="D269" s="40">
        <v>832</v>
      </c>
      <c r="F269">
        <v>509</v>
      </c>
      <c r="G269" s="41">
        <v>43339</v>
      </c>
      <c r="H269" t="str">
        <v>TX</v>
      </c>
      <c r="I269">
        <v>1219</v>
      </c>
    </row>
    <row r="270" spans="1:9" x14ac:dyDescent="0.25">
      <c r="A270">
        <v>392</v>
      </c>
      <c r="B270" s="5">
        <v>43318</v>
      </c>
      <c r="C270" t="s">
        <v>92</v>
      </c>
      <c r="D270" s="40">
        <v>1528</v>
      </c>
      <c r="F270">
        <v>899</v>
      </c>
      <c r="G270" s="41">
        <v>43417</v>
      </c>
      <c r="H270" t="str">
        <v>CA</v>
      </c>
      <c r="I270">
        <v>1386</v>
      </c>
    </row>
    <row r="271" spans="1:9" x14ac:dyDescent="0.25">
      <c r="A271">
        <v>811</v>
      </c>
      <c r="B271" s="5">
        <v>43401</v>
      </c>
      <c r="C271" t="s">
        <v>92</v>
      </c>
      <c r="D271" s="40">
        <v>546</v>
      </c>
      <c r="F271">
        <v>460</v>
      </c>
      <c r="G271" s="41">
        <v>43331</v>
      </c>
      <c r="H271" t="str">
        <v>TX</v>
      </c>
      <c r="I271">
        <v>1737</v>
      </c>
    </row>
    <row r="272" spans="1:9" x14ac:dyDescent="0.25">
      <c r="A272">
        <v>813</v>
      </c>
      <c r="B272" s="5">
        <v>43401</v>
      </c>
      <c r="C272" t="s">
        <v>93</v>
      </c>
      <c r="D272" s="40">
        <v>1891</v>
      </c>
      <c r="F272">
        <v>339</v>
      </c>
      <c r="G272" s="41">
        <v>43307</v>
      </c>
      <c r="H272" t="str">
        <v>NY</v>
      </c>
      <c r="I272">
        <v>689</v>
      </c>
    </row>
    <row r="273" spans="1:9" x14ac:dyDescent="0.25">
      <c r="A273">
        <v>927</v>
      </c>
      <c r="B273" s="5">
        <v>43422</v>
      </c>
      <c r="C273" t="s">
        <v>94</v>
      </c>
      <c r="D273" s="40">
        <v>1204</v>
      </c>
      <c r="F273">
        <v>215</v>
      </c>
      <c r="G273" s="41">
        <v>43287</v>
      </c>
      <c r="H273" t="str">
        <v>CA</v>
      </c>
      <c r="I273">
        <v>1730</v>
      </c>
    </row>
    <row r="274" spans="1:9" x14ac:dyDescent="0.25">
      <c r="A274">
        <v>46</v>
      </c>
      <c r="B274" s="5">
        <v>43258</v>
      </c>
      <c r="C274" t="s">
        <v>94</v>
      </c>
      <c r="D274" s="40">
        <v>1342</v>
      </c>
      <c r="F274">
        <v>534</v>
      </c>
      <c r="G274" s="41">
        <v>43344</v>
      </c>
      <c r="H274" t="str">
        <v>NY</v>
      </c>
      <c r="I274">
        <v>1106</v>
      </c>
    </row>
    <row r="275" spans="1:9" x14ac:dyDescent="0.25">
      <c r="A275">
        <v>562</v>
      </c>
      <c r="B275" s="5">
        <v>43348</v>
      </c>
      <c r="C275" t="s">
        <v>94</v>
      </c>
      <c r="D275" s="40">
        <v>1229</v>
      </c>
      <c r="F275">
        <v>203</v>
      </c>
      <c r="G275" s="41">
        <v>43285</v>
      </c>
      <c r="H275" t="str">
        <v>NY</v>
      </c>
      <c r="I275">
        <v>745</v>
      </c>
    </row>
    <row r="276" spans="1:9" x14ac:dyDescent="0.25">
      <c r="A276">
        <v>158</v>
      </c>
      <c r="B276" s="5">
        <v>43277</v>
      </c>
      <c r="C276" t="s">
        <v>92</v>
      </c>
      <c r="D276" s="40">
        <v>848</v>
      </c>
      <c r="F276">
        <v>778</v>
      </c>
      <c r="G276" s="41">
        <v>43393</v>
      </c>
      <c r="H276" t="str">
        <v>NY</v>
      </c>
      <c r="I276">
        <v>888</v>
      </c>
    </row>
    <row r="277" spans="1:9" x14ac:dyDescent="0.25">
      <c r="A277">
        <v>937</v>
      </c>
      <c r="B277" s="5">
        <v>43423</v>
      </c>
      <c r="C277" t="s">
        <v>94</v>
      </c>
      <c r="D277" s="40">
        <v>1554</v>
      </c>
      <c r="F277">
        <v>994</v>
      </c>
      <c r="G277" s="41">
        <v>43434</v>
      </c>
      <c r="H277" t="str">
        <v>CA</v>
      </c>
      <c r="I277">
        <v>1854</v>
      </c>
    </row>
    <row r="278" spans="1:9" x14ac:dyDescent="0.25">
      <c r="A278">
        <v>794</v>
      </c>
      <c r="B278" s="5">
        <v>43396</v>
      </c>
      <c r="C278" t="s">
        <v>92</v>
      </c>
      <c r="D278" s="40">
        <v>1375</v>
      </c>
      <c r="F278">
        <v>683</v>
      </c>
      <c r="G278" s="41">
        <v>43375</v>
      </c>
      <c r="H278" t="str">
        <v>NY</v>
      </c>
      <c r="I278">
        <v>999</v>
      </c>
    </row>
    <row r="279" spans="1:9" x14ac:dyDescent="0.25">
      <c r="A279">
        <v>345</v>
      </c>
      <c r="B279" s="5">
        <v>43310</v>
      </c>
      <c r="C279" t="s">
        <v>94</v>
      </c>
      <c r="D279" s="40">
        <v>1857</v>
      </c>
      <c r="F279">
        <v>500</v>
      </c>
      <c r="G279" s="41">
        <v>43338</v>
      </c>
      <c r="H279" t="str">
        <v>CA</v>
      </c>
      <c r="I279">
        <v>519</v>
      </c>
    </row>
    <row r="280" spans="1:9" x14ac:dyDescent="0.25">
      <c r="A280">
        <v>183</v>
      </c>
      <c r="B280" s="5">
        <v>43283</v>
      </c>
      <c r="C280" t="s">
        <v>92</v>
      </c>
      <c r="D280" s="40">
        <v>1134</v>
      </c>
      <c r="F280">
        <v>318</v>
      </c>
      <c r="G280" s="41">
        <v>43304</v>
      </c>
      <c r="H280" t="str">
        <v>NY</v>
      </c>
      <c r="I280">
        <v>1795</v>
      </c>
    </row>
    <row r="281" spans="1:9" x14ac:dyDescent="0.25">
      <c r="A281">
        <v>197</v>
      </c>
      <c r="B281" s="5">
        <v>43284</v>
      </c>
      <c r="C281" t="s">
        <v>92</v>
      </c>
      <c r="D281" s="40">
        <v>728</v>
      </c>
      <c r="F281">
        <v>218</v>
      </c>
      <c r="G281" s="41">
        <v>43287</v>
      </c>
      <c r="H281" t="str">
        <v>TX</v>
      </c>
      <c r="I281">
        <v>1461</v>
      </c>
    </row>
    <row r="282" spans="1:9" x14ac:dyDescent="0.25">
      <c r="A282">
        <v>524</v>
      </c>
      <c r="B282" s="5">
        <v>43343</v>
      </c>
      <c r="C282" t="s">
        <v>92</v>
      </c>
      <c r="D282" s="40">
        <v>951</v>
      </c>
      <c r="F282">
        <v>504</v>
      </c>
      <c r="G282" s="41">
        <v>43339</v>
      </c>
      <c r="H282" t="str">
        <v>NY</v>
      </c>
      <c r="I282">
        <v>554</v>
      </c>
    </row>
    <row r="283" spans="1:9" x14ac:dyDescent="0.25">
      <c r="A283">
        <v>210</v>
      </c>
      <c r="B283" s="5">
        <v>43286</v>
      </c>
      <c r="C283" t="s">
        <v>94</v>
      </c>
      <c r="D283" s="40">
        <v>564</v>
      </c>
      <c r="F283">
        <v>231</v>
      </c>
      <c r="G283" s="41">
        <v>43289</v>
      </c>
      <c r="H283" t="str">
        <v>TX</v>
      </c>
      <c r="I283">
        <v>866</v>
      </c>
    </row>
    <row r="284" spans="1:9" x14ac:dyDescent="0.25">
      <c r="A284">
        <v>145</v>
      </c>
      <c r="B284" s="5">
        <v>43275</v>
      </c>
      <c r="C284" t="s">
        <v>92</v>
      </c>
      <c r="D284" s="40">
        <v>1444</v>
      </c>
      <c r="F284">
        <v>554</v>
      </c>
      <c r="G284" s="41">
        <v>43348</v>
      </c>
      <c r="H284" t="str">
        <v>TX</v>
      </c>
      <c r="I284">
        <v>1112</v>
      </c>
    </row>
    <row r="285" spans="1:9" x14ac:dyDescent="0.25">
      <c r="A285">
        <v>688</v>
      </c>
      <c r="B285" s="5">
        <v>43377</v>
      </c>
      <c r="C285" t="s">
        <v>92</v>
      </c>
      <c r="D285" s="40">
        <v>537</v>
      </c>
      <c r="F285">
        <v>437</v>
      </c>
      <c r="G285" s="41">
        <v>43327</v>
      </c>
      <c r="H285" t="str">
        <v>TX</v>
      </c>
      <c r="I285">
        <v>1236</v>
      </c>
    </row>
    <row r="286" spans="1:9" x14ac:dyDescent="0.25">
      <c r="A286">
        <v>645</v>
      </c>
      <c r="B286" s="5">
        <v>43366</v>
      </c>
      <c r="C286" t="s">
        <v>94</v>
      </c>
      <c r="D286" s="40">
        <v>1621</v>
      </c>
      <c r="F286">
        <v>523</v>
      </c>
      <c r="G286" s="41">
        <v>43343</v>
      </c>
      <c r="H286" t="str">
        <v>NY</v>
      </c>
      <c r="I286">
        <v>719</v>
      </c>
    </row>
    <row r="287" spans="1:9" x14ac:dyDescent="0.25">
      <c r="A287">
        <v>888</v>
      </c>
      <c r="B287" s="5">
        <v>43416</v>
      </c>
      <c r="C287" t="s">
        <v>92</v>
      </c>
      <c r="D287" s="40">
        <v>1089</v>
      </c>
      <c r="F287">
        <v>566</v>
      </c>
      <c r="G287" s="41">
        <v>43349</v>
      </c>
      <c r="H287" t="str">
        <v>NY</v>
      </c>
      <c r="I287">
        <v>1461</v>
      </c>
    </row>
    <row r="288" spans="1:9" x14ac:dyDescent="0.25">
      <c r="A288">
        <v>540</v>
      </c>
      <c r="B288" s="5">
        <v>43345</v>
      </c>
      <c r="C288" t="s">
        <v>93</v>
      </c>
      <c r="D288" s="40">
        <v>1125</v>
      </c>
      <c r="F288">
        <v>725</v>
      </c>
      <c r="G288" s="41">
        <v>43385</v>
      </c>
      <c r="H288" t="str">
        <v>CA</v>
      </c>
      <c r="I288">
        <v>1713</v>
      </c>
    </row>
    <row r="289" spans="1:9" x14ac:dyDescent="0.25">
      <c r="A289">
        <v>198</v>
      </c>
      <c r="B289" s="5">
        <v>43284</v>
      </c>
      <c r="C289" t="s">
        <v>94</v>
      </c>
      <c r="D289" s="40">
        <v>1700</v>
      </c>
      <c r="F289">
        <v>873</v>
      </c>
      <c r="G289" s="41">
        <v>43414</v>
      </c>
      <c r="H289" t="str">
        <v>TX</v>
      </c>
      <c r="I289">
        <v>1222</v>
      </c>
    </row>
    <row r="290" spans="1:9" x14ac:dyDescent="0.25">
      <c r="A290">
        <v>287</v>
      </c>
      <c r="B290" s="5">
        <v>43298</v>
      </c>
      <c r="C290" t="s">
        <v>94</v>
      </c>
      <c r="D290" s="40">
        <v>728</v>
      </c>
      <c r="F290">
        <v>854</v>
      </c>
      <c r="G290" s="41">
        <v>43410</v>
      </c>
      <c r="H290" t="str">
        <v>NY</v>
      </c>
      <c r="I290">
        <v>1183</v>
      </c>
    </row>
    <row r="291" spans="1:9" x14ac:dyDescent="0.25">
      <c r="A291">
        <v>674</v>
      </c>
      <c r="B291" s="5">
        <v>43372</v>
      </c>
      <c r="C291" t="s">
        <v>93</v>
      </c>
      <c r="D291" s="40">
        <v>857</v>
      </c>
      <c r="F291">
        <v>656</v>
      </c>
      <c r="G291" s="41">
        <v>43368</v>
      </c>
      <c r="H291" t="str">
        <v>TX</v>
      </c>
      <c r="I291">
        <v>1191</v>
      </c>
    </row>
    <row r="292" spans="1:9" x14ac:dyDescent="0.25">
      <c r="A292">
        <v>652</v>
      </c>
      <c r="B292" s="5">
        <v>43367</v>
      </c>
      <c r="C292" t="s">
        <v>94</v>
      </c>
      <c r="D292" s="40">
        <v>1675</v>
      </c>
      <c r="F292">
        <v>406</v>
      </c>
      <c r="G292" s="41">
        <v>43321</v>
      </c>
      <c r="H292" t="str">
        <v>TX</v>
      </c>
      <c r="I292">
        <v>951</v>
      </c>
    </row>
    <row r="293" spans="1:9" x14ac:dyDescent="0.25">
      <c r="A293">
        <v>190</v>
      </c>
      <c r="B293" s="5">
        <v>43283</v>
      </c>
      <c r="C293" t="s">
        <v>93</v>
      </c>
      <c r="D293" s="40">
        <v>1281</v>
      </c>
      <c r="F293">
        <v>276</v>
      </c>
      <c r="G293" s="41">
        <v>43296</v>
      </c>
      <c r="H293" t="str">
        <v>TX</v>
      </c>
      <c r="I293">
        <v>549</v>
      </c>
    </row>
    <row r="294" spans="1:9" x14ac:dyDescent="0.25">
      <c r="A294">
        <v>923</v>
      </c>
      <c r="B294" s="5">
        <v>43421</v>
      </c>
      <c r="C294" t="s">
        <v>94</v>
      </c>
      <c r="D294" s="40">
        <v>1957</v>
      </c>
      <c r="F294">
        <v>982</v>
      </c>
      <c r="G294" s="41">
        <v>43432</v>
      </c>
      <c r="H294" t="str">
        <v>CA</v>
      </c>
      <c r="I294">
        <v>1827</v>
      </c>
    </row>
    <row r="295" spans="1:9" x14ac:dyDescent="0.25">
      <c r="A295">
        <v>162</v>
      </c>
      <c r="B295" s="5">
        <v>43278</v>
      </c>
      <c r="C295" t="s">
        <v>94</v>
      </c>
      <c r="D295" s="40">
        <v>1090</v>
      </c>
      <c r="F295">
        <v>325</v>
      </c>
      <c r="G295" s="41">
        <v>43305</v>
      </c>
      <c r="H295" t="str">
        <v>NY</v>
      </c>
      <c r="I295">
        <v>1067</v>
      </c>
    </row>
    <row r="296" spans="1:9" x14ac:dyDescent="0.25">
      <c r="A296">
        <v>539</v>
      </c>
      <c r="B296" s="5">
        <v>43345</v>
      </c>
      <c r="C296" t="s">
        <v>93</v>
      </c>
      <c r="D296" s="40">
        <v>1134</v>
      </c>
      <c r="F296">
        <v>716</v>
      </c>
      <c r="G296" s="41">
        <v>43383</v>
      </c>
      <c r="H296" t="str">
        <v>TX</v>
      </c>
      <c r="I296">
        <v>1945</v>
      </c>
    </row>
    <row r="297" spans="1:9" x14ac:dyDescent="0.25">
      <c r="A297">
        <v>711</v>
      </c>
      <c r="B297" s="5">
        <v>43382</v>
      </c>
      <c r="C297" t="s">
        <v>93</v>
      </c>
      <c r="D297" s="40">
        <v>726</v>
      </c>
      <c r="F297">
        <v>611</v>
      </c>
      <c r="G297" s="41">
        <v>43360</v>
      </c>
      <c r="H297" t="str">
        <v>NY</v>
      </c>
      <c r="I297">
        <v>1548</v>
      </c>
    </row>
    <row r="298" spans="1:9" x14ac:dyDescent="0.25">
      <c r="A298">
        <v>265</v>
      </c>
      <c r="B298" s="5">
        <v>43296</v>
      </c>
      <c r="C298" t="s">
        <v>92</v>
      </c>
      <c r="D298" s="40">
        <v>1594</v>
      </c>
      <c r="F298">
        <v>370</v>
      </c>
      <c r="G298" s="41">
        <v>43313</v>
      </c>
      <c r="H298" t="str">
        <v>NY</v>
      </c>
      <c r="I298">
        <v>753</v>
      </c>
    </row>
    <row r="299" spans="1:9" x14ac:dyDescent="0.25">
      <c r="A299">
        <v>1</v>
      </c>
      <c r="B299" s="5">
        <v>43252</v>
      </c>
      <c r="C299" t="s">
        <v>94</v>
      </c>
      <c r="D299" s="40">
        <v>1597</v>
      </c>
      <c r="F299">
        <v>622</v>
      </c>
      <c r="G299" s="41">
        <v>43364</v>
      </c>
      <c r="H299" t="str">
        <v>NY</v>
      </c>
      <c r="I299">
        <v>668</v>
      </c>
    </row>
    <row r="300" spans="1:9" x14ac:dyDescent="0.25">
      <c r="A300">
        <v>386</v>
      </c>
      <c r="B300" s="5">
        <v>43317</v>
      </c>
      <c r="C300" t="s">
        <v>94</v>
      </c>
      <c r="D300" s="40">
        <v>1513</v>
      </c>
      <c r="F300">
        <v>722</v>
      </c>
      <c r="G300" s="41">
        <v>43384</v>
      </c>
      <c r="H300" t="str">
        <v>NY</v>
      </c>
      <c r="I300">
        <v>1614</v>
      </c>
    </row>
    <row r="301" spans="1:9" x14ac:dyDescent="0.25">
      <c r="A301">
        <v>609</v>
      </c>
      <c r="B301" s="5">
        <v>43358</v>
      </c>
      <c r="C301" t="s">
        <v>94</v>
      </c>
      <c r="D301" s="40">
        <v>1708</v>
      </c>
      <c r="F301">
        <v>712</v>
      </c>
      <c r="G301" s="41">
        <v>43382</v>
      </c>
      <c r="H301" t="str">
        <v>CA</v>
      </c>
      <c r="I301">
        <v>1690</v>
      </c>
    </row>
    <row r="302" spans="1:9" x14ac:dyDescent="0.25">
      <c r="A302">
        <v>263</v>
      </c>
      <c r="B302" s="5">
        <v>43295</v>
      </c>
      <c r="C302" t="s">
        <v>93</v>
      </c>
      <c r="D302" s="40">
        <v>1157</v>
      </c>
      <c r="F302">
        <v>541</v>
      </c>
      <c r="G302" s="41">
        <v>43346</v>
      </c>
      <c r="H302" t="str">
        <v>NY</v>
      </c>
      <c r="I302">
        <v>723</v>
      </c>
    </row>
    <row r="303" spans="1:9" x14ac:dyDescent="0.25">
      <c r="A303">
        <v>289</v>
      </c>
      <c r="B303" s="5">
        <v>43299</v>
      </c>
      <c r="C303" t="s">
        <v>93</v>
      </c>
      <c r="D303" s="40">
        <v>1642</v>
      </c>
      <c r="F303">
        <v>593</v>
      </c>
      <c r="G303" s="41">
        <v>43356</v>
      </c>
      <c r="H303" t="str">
        <v>CA</v>
      </c>
      <c r="I303">
        <v>1894</v>
      </c>
    </row>
    <row r="304" spans="1:9" x14ac:dyDescent="0.25">
      <c r="A304">
        <v>678</v>
      </c>
      <c r="B304" s="5">
        <v>43373</v>
      </c>
      <c r="C304" t="s">
        <v>92</v>
      </c>
      <c r="D304" s="40">
        <v>589</v>
      </c>
      <c r="F304">
        <v>693</v>
      </c>
      <c r="G304" s="41">
        <v>43378</v>
      </c>
      <c r="H304" t="str">
        <v>NY</v>
      </c>
      <c r="I304">
        <v>1667</v>
      </c>
    </row>
    <row r="305" spans="1:9" x14ac:dyDescent="0.25">
      <c r="A305">
        <v>863</v>
      </c>
      <c r="B305" s="5">
        <v>43411</v>
      </c>
      <c r="C305" t="s">
        <v>92</v>
      </c>
      <c r="D305" s="40">
        <v>846</v>
      </c>
      <c r="F305">
        <v>254</v>
      </c>
      <c r="G305" s="41">
        <v>43294</v>
      </c>
      <c r="H305" t="str">
        <v>CA</v>
      </c>
      <c r="I305">
        <v>1207</v>
      </c>
    </row>
    <row r="306" spans="1:9" x14ac:dyDescent="0.25">
      <c r="A306">
        <v>447</v>
      </c>
      <c r="B306" s="5">
        <v>43328</v>
      </c>
      <c r="C306" t="s">
        <v>94</v>
      </c>
      <c r="D306" s="40">
        <v>753</v>
      </c>
      <c r="F306">
        <v>390</v>
      </c>
      <c r="G306" s="41">
        <v>43317</v>
      </c>
      <c r="H306" t="str">
        <v>NY</v>
      </c>
      <c r="I306">
        <v>1762</v>
      </c>
    </row>
    <row r="307" spans="1:9" x14ac:dyDescent="0.25">
      <c r="A307">
        <v>696</v>
      </c>
      <c r="B307" s="5">
        <v>43378</v>
      </c>
      <c r="C307" t="s">
        <v>94</v>
      </c>
      <c r="D307" s="40">
        <v>669</v>
      </c>
      <c r="F307">
        <v>876</v>
      </c>
      <c r="G307" s="41">
        <v>43414</v>
      </c>
      <c r="H307" t="str">
        <v>TX</v>
      </c>
      <c r="I307">
        <v>817</v>
      </c>
    </row>
    <row r="308" spans="1:9" x14ac:dyDescent="0.25">
      <c r="A308">
        <v>484</v>
      </c>
      <c r="B308" s="5">
        <v>43334</v>
      </c>
      <c r="C308" t="s">
        <v>93</v>
      </c>
      <c r="D308" s="40">
        <v>1373</v>
      </c>
      <c r="F308">
        <v>880</v>
      </c>
      <c r="G308" s="41">
        <v>43415</v>
      </c>
      <c r="H308" t="str">
        <v>CA</v>
      </c>
      <c r="I308">
        <v>1133</v>
      </c>
    </row>
    <row r="309" spans="1:9" x14ac:dyDescent="0.25">
      <c r="A309">
        <v>932</v>
      </c>
      <c r="B309" s="5">
        <v>43423</v>
      </c>
      <c r="C309" t="s">
        <v>94</v>
      </c>
      <c r="D309" s="40">
        <v>1399</v>
      </c>
      <c r="F309">
        <v>398</v>
      </c>
      <c r="G309" s="41">
        <v>43320</v>
      </c>
      <c r="H309" t="str">
        <v>TX</v>
      </c>
      <c r="I309">
        <v>1246</v>
      </c>
    </row>
    <row r="310" spans="1:9" x14ac:dyDescent="0.25">
      <c r="A310">
        <v>268</v>
      </c>
      <c r="B310" s="5">
        <v>43296</v>
      </c>
      <c r="C310" t="s">
        <v>93</v>
      </c>
      <c r="D310" s="40">
        <v>1493</v>
      </c>
      <c r="F310">
        <v>519</v>
      </c>
      <c r="G310" s="41">
        <v>43342</v>
      </c>
      <c r="H310" t="str">
        <v>CA</v>
      </c>
      <c r="I310">
        <v>1145</v>
      </c>
    </row>
    <row r="311" spans="1:9" x14ac:dyDescent="0.25">
      <c r="A311">
        <v>764</v>
      </c>
      <c r="B311" s="5">
        <v>43391</v>
      </c>
      <c r="C311" t="s">
        <v>94</v>
      </c>
      <c r="D311" s="40">
        <v>1357</v>
      </c>
      <c r="F311">
        <v>998</v>
      </c>
      <c r="G311" s="41">
        <v>43434</v>
      </c>
      <c r="H311" t="str">
        <v>CA</v>
      </c>
      <c r="I311">
        <v>1908</v>
      </c>
    </row>
    <row r="312" spans="1:9" x14ac:dyDescent="0.25">
      <c r="A312">
        <v>726</v>
      </c>
      <c r="B312" s="5">
        <v>43385</v>
      </c>
      <c r="C312" t="s">
        <v>93</v>
      </c>
      <c r="D312" s="40">
        <v>1662</v>
      </c>
      <c r="F312">
        <v>631</v>
      </c>
      <c r="G312" s="41">
        <v>43365</v>
      </c>
      <c r="H312" t="str">
        <v>TX</v>
      </c>
      <c r="I312">
        <v>883</v>
      </c>
    </row>
    <row r="313" spans="1:9" x14ac:dyDescent="0.25">
      <c r="A313">
        <v>495</v>
      </c>
      <c r="B313" s="5">
        <v>43338</v>
      </c>
      <c r="C313" t="s">
        <v>94</v>
      </c>
      <c r="D313" s="40">
        <v>1343</v>
      </c>
      <c r="F313">
        <v>749</v>
      </c>
      <c r="G313" s="41">
        <v>43388</v>
      </c>
      <c r="H313" t="str">
        <v>TX</v>
      </c>
      <c r="I313">
        <v>1938</v>
      </c>
    </row>
    <row r="314" spans="1:9" x14ac:dyDescent="0.25">
      <c r="A314">
        <v>864</v>
      </c>
      <c r="B314" s="5">
        <v>43411</v>
      </c>
      <c r="C314" t="s">
        <v>92</v>
      </c>
      <c r="D314" s="40">
        <v>559</v>
      </c>
      <c r="F314">
        <v>278</v>
      </c>
      <c r="G314" s="41">
        <v>43297</v>
      </c>
      <c r="H314" t="str">
        <v>CA</v>
      </c>
      <c r="I314">
        <v>1108</v>
      </c>
    </row>
    <row r="315" spans="1:9" x14ac:dyDescent="0.25">
      <c r="A315">
        <v>359</v>
      </c>
      <c r="B315" s="5">
        <v>43311</v>
      </c>
      <c r="C315" t="s">
        <v>94</v>
      </c>
      <c r="D315" s="40">
        <v>773</v>
      </c>
      <c r="F315">
        <v>630</v>
      </c>
      <c r="G315" s="41">
        <v>43365</v>
      </c>
      <c r="H315" t="str">
        <v>TX</v>
      </c>
      <c r="I315">
        <v>1881</v>
      </c>
    </row>
    <row r="316" spans="1:9" x14ac:dyDescent="0.25">
      <c r="A316">
        <v>259</v>
      </c>
      <c r="B316" s="5">
        <v>43295</v>
      </c>
      <c r="C316" t="s">
        <v>93</v>
      </c>
      <c r="D316" s="40">
        <v>755</v>
      </c>
      <c r="F316">
        <v>290</v>
      </c>
      <c r="G316" s="41">
        <v>43299</v>
      </c>
      <c r="H316" t="str">
        <v>TX</v>
      </c>
      <c r="I316">
        <v>1246</v>
      </c>
    </row>
    <row r="317" spans="1:9" x14ac:dyDescent="0.25">
      <c r="A317">
        <v>730</v>
      </c>
      <c r="B317" s="5">
        <v>43385</v>
      </c>
      <c r="C317" t="s">
        <v>93</v>
      </c>
      <c r="D317" s="40">
        <v>1623</v>
      </c>
      <c r="F317">
        <v>356</v>
      </c>
      <c r="G317" s="41">
        <v>43311</v>
      </c>
      <c r="H317" t="str">
        <v>TX</v>
      </c>
      <c r="I317">
        <v>1780</v>
      </c>
    </row>
    <row r="318" spans="1:9" x14ac:dyDescent="0.25">
      <c r="A318">
        <v>150</v>
      </c>
      <c r="B318" s="5">
        <v>43276</v>
      </c>
      <c r="C318" t="s">
        <v>93</v>
      </c>
      <c r="D318" s="40">
        <v>616</v>
      </c>
      <c r="F318">
        <v>214</v>
      </c>
      <c r="G318" s="41">
        <v>43287</v>
      </c>
      <c r="H318" t="str">
        <v>NY</v>
      </c>
      <c r="I318">
        <v>1314</v>
      </c>
    </row>
    <row r="319" spans="1:9" x14ac:dyDescent="0.25">
      <c r="A319">
        <v>784</v>
      </c>
      <c r="B319" s="5">
        <v>43394</v>
      </c>
      <c r="C319" t="s">
        <v>93</v>
      </c>
      <c r="D319" s="40">
        <v>1362</v>
      </c>
      <c r="F319">
        <v>874</v>
      </c>
      <c r="G319" s="41">
        <v>43414</v>
      </c>
      <c r="H319" t="str">
        <v>CA</v>
      </c>
      <c r="I319">
        <v>500</v>
      </c>
    </row>
    <row r="320" spans="1:9" x14ac:dyDescent="0.25">
      <c r="A320">
        <v>578</v>
      </c>
      <c r="B320" s="5">
        <v>43352</v>
      </c>
      <c r="C320" t="s">
        <v>93</v>
      </c>
      <c r="D320" s="40">
        <v>1406</v>
      </c>
      <c r="F320">
        <v>605</v>
      </c>
      <c r="G320" s="41">
        <v>43357</v>
      </c>
      <c r="H320" t="str">
        <v>NY</v>
      </c>
      <c r="I320">
        <v>1323</v>
      </c>
    </row>
    <row r="321" spans="1:9" x14ac:dyDescent="0.25">
      <c r="A321">
        <v>87</v>
      </c>
      <c r="B321" s="5">
        <v>43266</v>
      </c>
      <c r="C321" t="s">
        <v>92</v>
      </c>
      <c r="D321" s="40">
        <v>936</v>
      </c>
      <c r="F321">
        <v>637</v>
      </c>
      <c r="G321" s="41">
        <v>43365</v>
      </c>
      <c r="H321" t="str">
        <v>NY</v>
      </c>
      <c r="I321">
        <v>1281</v>
      </c>
    </row>
    <row r="322" spans="1:9" x14ac:dyDescent="0.25">
      <c r="A322">
        <v>979</v>
      </c>
      <c r="B322" s="5">
        <v>43432</v>
      </c>
      <c r="C322" t="s">
        <v>93</v>
      </c>
      <c r="D322" s="40">
        <v>1129</v>
      </c>
      <c r="F322">
        <v>737</v>
      </c>
      <c r="G322" s="41">
        <v>43386</v>
      </c>
      <c r="H322" t="str">
        <v>TX</v>
      </c>
      <c r="I322">
        <v>1836</v>
      </c>
    </row>
    <row r="323" spans="1:9" x14ac:dyDescent="0.25">
      <c r="A323">
        <v>395</v>
      </c>
      <c r="B323" s="5">
        <v>43318</v>
      </c>
      <c r="C323" t="s">
        <v>94</v>
      </c>
      <c r="D323" s="40">
        <v>1423</v>
      </c>
      <c r="F323">
        <v>629</v>
      </c>
      <c r="G323" s="41">
        <v>43365</v>
      </c>
      <c r="H323" t="str">
        <v>TX</v>
      </c>
      <c r="I323">
        <v>1290</v>
      </c>
    </row>
    <row r="324" spans="1:9" x14ac:dyDescent="0.25">
      <c r="A324">
        <v>753</v>
      </c>
      <c r="B324" s="5">
        <v>43388</v>
      </c>
      <c r="C324" t="s">
        <v>92</v>
      </c>
      <c r="D324" s="40">
        <v>690</v>
      </c>
      <c r="F324">
        <v>744</v>
      </c>
      <c r="G324" s="41">
        <v>43387</v>
      </c>
      <c r="H324" t="str">
        <v>CA</v>
      </c>
      <c r="I324">
        <v>1276</v>
      </c>
    </row>
    <row r="325" spans="1:9" x14ac:dyDescent="0.25">
      <c r="A325">
        <v>305</v>
      </c>
      <c r="B325" s="5">
        <v>43301</v>
      </c>
      <c r="C325" t="s">
        <v>94</v>
      </c>
      <c r="D325" s="40">
        <v>957</v>
      </c>
      <c r="F325">
        <v>823</v>
      </c>
      <c r="G325" s="41">
        <v>43403</v>
      </c>
      <c r="H325" t="str">
        <v>NY</v>
      </c>
      <c r="I325">
        <v>1297</v>
      </c>
    </row>
    <row r="326" spans="1:9" x14ac:dyDescent="0.25">
      <c r="A326">
        <v>107</v>
      </c>
      <c r="B326" s="5">
        <v>43269</v>
      </c>
      <c r="C326" t="s">
        <v>94</v>
      </c>
      <c r="D326" s="40">
        <v>1922</v>
      </c>
      <c r="F326">
        <v>445</v>
      </c>
      <c r="G326" s="41">
        <v>43328</v>
      </c>
      <c r="H326" t="str">
        <v>CA</v>
      </c>
      <c r="I326">
        <v>1113</v>
      </c>
    </row>
    <row r="327" spans="1:9" x14ac:dyDescent="0.25">
      <c r="A327">
        <v>58</v>
      </c>
      <c r="B327" s="5">
        <v>43260</v>
      </c>
      <c r="C327" t="s">
        <v>93</v>
      </c>
      <c r="D327" s="40">
        <v>1052</v>
      </c>
      <c r="F327">
        <v>916</v>
      </c>
      <c r="G327" s="41">
        <v>43420</v>
      </c>
      <c r="H327" t="str">
        <v>NY</v>
      </c>
      <c r="I327">
        <v>608</v>
      </c>
    </row>
    <row r="328" spans="1:9" x14ac:dyDescent="0.25">
      <c r="A328">
        <v>331</v>
      </c>
      <c r="B328" s="5">
        <v>43306</v>
      </c>
      <c r="C328" t="s">
        <v>92</v>
      </c>
      <c r="D328" s="40">
        <v>1088</v>
      </c>
      <c r="F328">
        <v>414</v>
      </c>
      <c r="G328" s="41">
        <v>43323</v>
      </c>
      <c r="H328" t="str">
        <v>TX</v>
      </c>
      <c r="I328">
        <v>1002</v>
      </c>
    </row>
    <row r="329" spans="1:9" x14ac:dyDescent="0.25">
      <c r="A329">
        <v>328</v>
      </c>
      <c r="B329" s="5">
        <v>43305</v>
      </c>
      <c r="C329" t="s">
        <v>94</v>
      </c>
      <c r="D329" s="40">
        <v>1050</v>
      </c>
      <c r="F329">
        <v>879</v>
      </c>
      <c r="G329" s="41">
        <v>43414</v>
      </c>
      <c r="H329" t="str">
        <v>CA</v>
      </c>
      <c r="I329">
        <v>1558</v>
      </c>
    </row>
    <row r="330" spans="1:9" x14ac:dyDescent="0.25">
      <c r="A330">
        <v>915</v>
      </c>
      <c r="B330" s="5">
        <v>43420</v>
      </c>
      <c r="C330" t="s">
        <v>93</v>
      </c>
      <c r="D330" s="40">
        <v>1672</v>
      </c>
      <c r="F330">
        <v>297</v>
      </c>
      <c r="G330" s="41">
        <v>43300</v>
      </c>
      <c r="H330" t="str">
        <v>CA</v>
      </c>
      <c r="I330">
        <v>1620</v>
      </c>
    </row>
    <row r="331" spans="1:9" x14ac:dyDescent="0.25">
      <c r="A331">
        <v>284</v>
      </c>
      <c r="B331" s="5">
        <v>43298</v>
      </c>
      <c r="C331" t="s">
        <v>93</v>
      </c>
      <c r="D331" s="40">
        <v>577</v>
      </c>
      <c r="F331">
        <v>740</v>
      </c>
      <c r="G331" s="41">
        <v>43386</v>
      </c>
      <c r="H331" t="str">
        <v>CA</v>
      </c>
      <c r="I331">
        <v>1404</v>
      </c>
    </row>
    <row r="332" spans="1:9" x14ac:dyDescent="0.25">
      <c r="A332">
        <v>643</v>
      </c>
      <c r="B332" s="5">
        <v>43366</v>
      </c>
      <c r="C332" t="s">
        <v>93</v>
      </c>
      <c r="D332" s="40">
        <v>863</v>
      </c>
      <c r="F332">
        <v>383</v>
      </c>
      <c r="G332" s="41">
        <v>43316</v>
      </c>
      <c r="H332" t="str">
        <v>TX</v>
      </c>
      <c r="I332">
        <v>654</v>
      </c>
    </row>
    <row r="333" spans="1:9" x14ac:dyDescent="0.25">
      <c r="A333">
        <v>483</v>
      </c>
      <c r="B333" s="5">
        <v>43334</v>
      </c>
      <c r="C333" t="s">
        <v>93</v>
      </c>
      <c r="D333" s="40">
        <v>1026</v>
      </c>
      <c r="F333">
        <v>533</v>
      </c>
      <c r="G333" s="41">
        <v>43344</v>
      </c>
      <c r="H333" t="str">
        <v>CA</v>
      </c>
      <c r="I333">
        <v>717</v>
      </c>
    </row>
    <row r="334" spans="1:9" x14ac:dyDescent="0.25">
      <c r="A334">
        <v>974</v>
      </c>
      <c r="B334" s="5">
        <v>43431</v>
      </c>
      <c r="C334" t="s">
        <v>93</v>
      </c>
      <c r="D334" s="40">
        <v>1369</v>
      </c>
      <c r="F334">
        <v>376</v>
      </c>
      <c r="G334" s="41">
        <v>43314</v>
      </c>
      <c r="H334" t="str">
        <v>CA</v>
      </c>
      <c r="I334">
        <v>558</v>
      </c>
    </row>
    <row r="335" spans="1:9" x14ac:dyDescent="0.25">
      <c r="A335">
        <v>564</v>
      </c>
      <c r="B335" s="5">
        <v>43349</v>
      </c>
      <c r="C335" t="s">
        <v>92</v>
      </c>
      <c r="D335" s="40">
        <v>1196</v>
      </c>
      <c r="F335">
        <v>684</v>
      </c>
      <c r="G335" s="41">
        <v>43375</v>
      </c>
      <c r="H335" t="str">
        <v>CA</v>
      </c>
      <c r="I335">
        <v>553</v>
      </c>
    </row>
    <row r="336" spans="1:9" x14ac:dyDescent="0.25">
      <c r="A336">
        <v>969</v>
      </c>
      <c r="B336" s="5">
        <v>43429</v>
      </c>
      <c r="C336" t="s">
        <v>94</v>
      </c>
      <c r="D336" s="40">
        <v>1543</v>
      </c>
      <c r="F336">
        <v>235</v>
      </c>
      <c r="G336" s="41">
        <v>43291</v>
      </c>
      <c r="H336" t="str">
        <v>CA</v>
      </c>
      <c r="I336">
        <v>1569</v>
      </c>
    </row>
    <row r="337" spans="1:9" x14ac:dyDescent="0.25">
      <c r="A337">
        <v>918</v>
      </c>
      <c r="B337" s="5">
        <v>43420</v>
      </c>
      <c r="C337" t="s">
        <v>94</v>
      </c>
      <c r="D337" s="40">
        <v>1219</v>
      </c>
      <c r="F337">
        <v>877</v>
      </c>
      <c r="G337" s="41">
        <v>43414</v>
      </c>
      <c r="H337" t="str">
        <v>CA</v>
      </c>
      <c r="I337">
        <v>961</v>
      </c>
    </row>
    <row r="338" spans="1:9" x14ac:dyDescent="0.25">
      <c r="A338">
        <v>509</v>
      </c>
      <c r="B338" s="5">
        <v>43339</v>
      </c>
      <c r="C338" t="s">
        <v>94</v>
      </c>
      <c r="D338" s="40">
        <v>1219</v>
      </c>
      <c r="F338">
        <v>752</v>
      </c>
      <c r="G338" s="41">
        <v>43388</v>
      </c>
      <c r="H338" t="str">
        <v>NY</v>
      </c>
      <c r="I338">
        <v>1637</v>
      </c>
    </row>
    <row r="339" spans="1:9" x14ac:dyDescent="0.25">
      <c r="A339">
        <v>175</v>
      </c>
      <c r="B339" s="5">
        <v>43280</v>
      </c>
      <c r="C339" t="s">
        <v>93</v>
      </c>
      <c r="D339" s="40">
        <v>1610</v>
      </c>
      <c r="F339">
        <v>587</v>
      </c>
      <c r="G339" s="41">
        <v>43355</v>
      </c>
      <c r="H339" t="str">
        <v>NY</v>
      </c>
      <c r="I339">
        <v>775</v>
      </c>
    </row>
    <row r="340" spans="1:9" x14ac:dyDescent="0.25">
      <c r="A340">
        <v>899</v>
      </c>
      <c r="B340" s="5">
        <v>43417</v>
      </c>
      <c r="C340" t="s">
        <v>92</v>
      </c>
      <c r="D340" s="40">
        <v>1386</v>
      </c>
      <c r="F340">
        <v>439</v>
      </c>
      <c r="G340" s="41">
        <v>43327</v>
      </c>
      <c r="H340" t="str">
        <v>TX</v>
      </c>
      <c r="I340">
        <v>1458</v>
      </c>
    </row>
    <row r="341" spans="1:9" x14ac:dyDescent="0.25">
      <c r="A341">
        <v>460</v>
      </c>
      <c r="B341" s="5">
        <v>43331</v>
      </c>
      <c r="C341" t="s">
        <v>94</v>
      </c>
      <c r="D341" s="40">
        <v>1737</v>
      </c>
      <c r="F341">
        <v>544</v>
      </c>
      <c r="G341" s="41">
        <v>43346</v>
      </c>
      <c r="H341" t="str">
        <v>CA</v>
      </c>
      <c r="I341">
        <v>1368</v>
      </c>
    </row>
    <row r="342" spans="1:9" x14ac:dyDescent="0.25">
      <c r="A342">
        <v>339</v>
      </c>
      <c r="B342" s="5">
        <v>43307</v>
      </c>
      <c r="C342" t="s">
        <v>93</v>
      </c>
      <c r="D342" s="40">
        <v>689</v>
      </c>
      <c r="F342">
        <v>187</v>
      </c>
      <c r="G342" s="41">
        <v>43283</v>
      </c>
      <c r="H342" t="str">
        <v>CA</v>
      </c>
      <c r="I342">
        <v>921</v>
      </c>
    </row>
    <row r="343" spans="1:9" x14ac:dyDescent="0.25">
      <c r="A343">
        <v>215</v>
      </c>
      <c r="B343" s="5">
        <v>43287</v>
      </c>
      <c r="C343" t="s">
        <v>92</v>
      </c>
      <c r="D343" s="40">
        <v>1730</v>
      </c>
      <c r="F343">
        <v>211</v>
      </c>
      <c r="G343" s="41">
        <v>43287</v>
      </c>
      <c r="H343" t="str">
        <v>CA</v>
      </c>
      <c r="I343">
        <v>1668</v>
      </c>
    </row>
    <row r="344" spans="1:9" x14ac:dyDescent="0.25">
      <c r="A344">
        <v>534</v>
      </c>
      <c r="B344" s="5">
        <v>43344</v>
      </c>
      <c r="C344" t="s">
        <v>93</v>
      </c>
      <c r="D344" s="40">
        <v>1106</v>
      </c>
      <c r="F344">
        <v>704</v>
      </c>
      <c r="G344" s="41">
        <v>43381</v>
      </c>
      <c r="H344" t="str">
        <v>CA</v>
      </c>
      <c r="I344">
        <v>811</v>
      </c>
    </row>
    <row r="345" spans="1:9" x14ac:dyDescent="0.25">
      <c r="A345">
        <v>203</v>
      </c>
      <c r="B345" s="5">
        <v>43285</v>
      </c>
      <c r="C345" t="s">
        <v>93</v>
      </c>
      <c r="D345" s="40">
        <v>745</v>
      </c>
      <c r="F345">
        <v>601</v>
      </c>
      <c r="G345" s="41">
        <v>43356</v>
      </c>
      <c r="H345" t="str">
        <v>TX</v>
      </c>
      <c r="I345">
        <v>859</v>
      </c>
    </row>
    <row r="346" spans="1:9" x14ac:dyDescent="0.25">
      <c r="A346">
        <v>778</v>
      </c>
      <c r="B346" s="5">
        <v>43393</v>
      </c>
      <c r="C346" t="s">
        <v>93</v>
      </c>
      <c r="D346" s="40">
        <v>888</v>
      </c>
      <c r="F346">
        <v>828</v>
      </c>
      <c r="G346" s="41">
        <v>43404</v>
      </c>
      <c r="H346" t="str">
        <v>NY</v>
      </c>
      <c r="I346">
        <v>1232</v>
      </c>
    </row>
    <row r="347" spans="1:9" x14ac:dyDescent="0.25">
      <c r="A347">
        <v>994</v>
      </c>
      <c r="B347" s="5">
        <v>43434</v>
      </c>
      <c r="C347" t="s">
        <v>92</v>
      </c>
      <c r="D347" s="40">
        <v>1854</v>
      </c>
      <c r="F347">
        <v>572</v>
      </c>
      <c r="G347" s="41">
        <v>43350</v>
      </c>
      <c r="H347" t="str">
        <v>CA</v>
      </c>
      <c r="I347">
        <v>1293</v>
      </c>
    </row>
    <row r="348" spans="1:9" x14ac:dyDescent="0.25">
      <c r="A348">
        <v>683</v>
      </c>
      <c r="B348" s="5">
        <v>43375</v>
      </c>
      <c r="C348" t="s">
        <v>93</v>
      </c>
      <c r="D348" s="40">
        <v>999</v>
      </c>
      <c r="F348">
        <v>226</v>
      </c>
      <c r="G348" s="41">
        <v>43289</v>
      </c>
      <c r="H348" t="str">
        <v>TX</v>
      </c>
      <c r="I348">
        <v>639</v>
      </c>
    </row>
    <row r="349" spans="1:9" x14ac:dyDescent="0.25">
      <c r="A349">
        <v>500</v>
      </c>
      <c r="B349" s="5">
        <v>43338</v>
      </c>
      <c r="C349" t="s">
        <v>92</v>
      </c>
      <c r="D349" s="40">
        <v>519</v>
      </c>
      <c r="F349">
        <v>512</v>
      </c>
      <c r="G349" s="41">
        <v>43340</v>
      </c>
      <c r="H349" t="str">
        <v>CA</v>
      </c>
      <c r="I349">
        <v>1068</v>
      </c>
    </row>
    <row r="350" spans="1:9" x14ac:dyDescent="0.25">
      <c r="A350">
        <v>318</v>
      </c>
      <c r="B350" s="5">
        <v>43304</v>
      </c>
      <c r="C350" t="s">
        <v>93</v>
      </c>
      <c r="D350" s="40">
        <v>1795</v>
      </c>
      <c r="F350">
        <v>957</v>
      </c>
      <c r="G350" s="41">
        <v>43427</v>
      </c>
      <c r="H350" t="str">
        <v>TX</v>
      </c>
      <c r="I350">
        <v>635</v>
      </c>
    </row>
    <row r="351" spans="1:9" x14ac:dyDescent="0.25">
      <c r="A351">
        <v>218</v>
      </c>
      <c r="B351" s="5">
        <v>43287</v>
      </c>
      <c r="C351" t="s">
        <v>94</v>
      </c>
      <c r="D351" s="40">
        <v>1461</v>
      </c>
      <c r="F351">
        <v>338</v>
      </c>
      <c r="G351" s="41">
        <v>43307</v>
      </c>
      <c r="H351" t="str">
        <v>TX</v>
      </c>
      <c r="I351">
        <v>985</v>
      </c>
    </row>
    <row r="352" spans="1:9" x14ac:dyDescent="0.25">
      <c r="A352">
        <v>504</v>
      </c>
      <c r="B352" s="5">
        <v>43339</v>
      </c>
      <c r="C352" t="s">
        <v>93</v>
      </c>
      <c r="D352" s="40">
        <v>554</v>
      </c>
      <c r="F352">
        <v>692</v>
      </c>
      <c r="G352" s="41">
        <v>43378</v>
      </c>
      <c r="H352" t="str">
        <v>NY</v>
      </c>
      <c r="I352">
        <v>722</v>
      </c>
    </row>
    <row r="353" spans="1:9" x14ac:dyDescent="0.25">
      <c r="A353">
        <v>231</v>
      </c>
      <c r="B353" s="5">
        <v>43289</v>
      </c>
      <c r="C353" t="s">
        <v>94</v>
      </c>
      <c r="D353" s="40">
        <v>866</v>
      </c>
      <c r="F353">
        <v>515</v>
      </c>
      <c r="G353" s="41">
        <v>43341</v>
      </c>
      <c r="H353" t="str">
        <v>NY</v>
      </c>
      <c r="I353">
        <v>1138</v>
      </c>
    </row>
    <row r="354" spans="1:9" x14ac:dyDescent="0.25">
      <c r="A354">
        <v>554</v>
      </c>
      <c r="B354" s="5">
        <v>43348</v>
      </c>
      <c r="C354" t="s">
        <v>94</v>
      </c>
      <c r="D354" s="40">
        <v>1112</v>
      </c>
      <c r="F354">
        <v>944</v>
      </c>
      <c r="G354" s="41">
        <v>43424</v>
      </c>
      <c r="H354" t="str">
        <v>CA</v>
      </c>
      <c r="I354">
        <v>1579</v>
      </c>
    </row>
    <row r="355" spans="1:9" x14ac:dyDescent="0.25">
      <c r="A355">
        <v>437</v>
      </c>
      <c r="B355" s="5">
        <v>43327</v>
      </c>
      <c r="C355" t="s">
        <v>94</v>
      </c>
      <c r="D355" s="40">
        <v>1236</v>
      </c>
      <c r="F355">
        <v>442</v>
      </c>
      <c r="G355" s="41">
        <v>43328</v>
      </c>
      <c r="H355" t="str">
        <v>NY</v>
      </c>
      <c r="I355">
        <v>1345</v>
      </c>
    </row>
    <row r="356" spans="1:9" x14ac:dyDescent="0.25">
      <c r="A356">
        <v>155</v>
      </c>
      <c r="B356" s="5">
        <v>43276</v>
      </c>
      <c r="C356" t="s">
        <v>92</v>
      </c>
      <c r="D356" s="40">
        <v>711</v>
      </c>
      <c r="F356">
        <v>909</v>
      </c>
      <c r="G356" s="41">
        <v>43419</v>
      </c>
      <c r="H356" t="str">
        <v>TX</v>
      </c>
      <c r="I356">
        <v>1841</v>
      </c>
    </row>
    <row r="357" spans="1:9" x14ac:dyDescent="0.25">
      <c r="A357">
        <v>523</v>
      </c>
      <c r="B357" s="5">
        <v>43343</v>
      </c>
      <c r="C357" t="s">
        <v>93</v>
      </c>
      <c r="D357" s="40">
        <v>719</v>
      </c>
      <c r="F357">
        <v>365</v>
      </c>
      <c r="G357" s="41">
        <v>43313</v>
      </c>
      <c r="H357" t="str">
        <v>NY</v>
      </c>
      <c r="I357">
        <v>543</v>
      </c>
    </row>
    <row r="358" spans="1:9" x14ac:dyDescent="0.25">
      <c r="A358">
        <v>566</v>
      </c>
      <c r="B358" s="5">
        <v>43349</v>
      </c>
      <c r="C358" t="s">
        <v>93</v>
      </c>
      <c r="D358" s="40">
        <v>1461</v>
      </c>
      <c r="F358">
        <v>584</v>
      </c>
      <c r="G358" s="41">
        <v>43354</v>
      </c>
      <c r="H358" t="str">
        <v>CA</v>
      </c>
      <c r="I358">
        <v>659</v>
      </c>
    </row>
    <row r="359" spans="1:9" x14ac:dyDescent="0.25">
      <c r="A359">
        <v>725</v>
      </c>
      <c r="B359" s="5">
        <v>43385</v>
      </c>
      <c r="C359" t="s">
        <v>92</v>
      </c>
      <c r="D359" s="40">
        <v>1713</v>
      </c>
      <c r="F359">
        <v>444</v>
      </c>
      <c r="G359" s="41">
        <v>43328</v>
      </c>
      <c r="H359" t="str">
        <v>CA</v>
      </c>
      <c r="I359">
        <v>1131</v>
      </c>
    </row>
    <row r="360" spans="1:9" x14ac:dyDescent="0.25">
      <c r="A360">
        <v>873</v>
      </c>
      <c r="B360" s="5">
        <v>43414</v>
      </c>
      <c r="C360" t="s">
        <v>94</v>
      </c>
      <c r="D360" s="40">
        <v>1222</v>
      </c>
      <c r="F360">
        <v>373</v>
      </c>
      <c r="G360" s="41">
        <v>43314</v>
      </c>
      <c r="H360" t="str">
        <v>TX</v>
      </c>
      <c r="I360">
        <v>1382</v>
      </c>
    </row>
    <row r="361" spans="1:9" x14ac:dyDescent="0.25">
      <c r="A361">
        <v>61</v>
      </c>
      <c r="B361" s="5">
        <v>43261</v>
      </c>
      <c r="C361" t="s">
        <v>92</v>
      </c>
      <c r="D361" s="40">
        <v>1081</v>
      </c>
      <c r="F361">
        <v>983</v>
      </c>
      <c r="G361" s="41">
        <v>43432</v>
      </c>
      <c r="H361" t="str">
        <v>NY</v>
      </c>
      <c r="I361">
        <v>1494</v>
      </c>
    </row>
    <row r="362" spans="1:9" x14ac:dyDescent="0.25">
      <c r="A362">
        <v>854</v>
      </c>
      <c r="B362" s="5">
        <v>43410</v>
      </c>
      <c r="C362" t="s">
        <v>93</v>
      </c>
      <c r="D362" s="40">
        <v>1183</v>
      </c>
      <c r="F362">
        <v>450</v>
      </c>
      <c r="G362" s="41">
        <v>43329</v>
      </c>
      <c r="H362" t="str">
        <v>TX</v>
      </c>
      <c r="I362">
        <v>1845</v>
      </c>
    </row>
    <row r="363" spans="1:9" x14ac:dyDescent="0.25">
      <c r="A363">
        <v>100</v>
      </c>
      <c r="B363" s="5">
        <v>43268</v>
      </c>
      <c r="C363" t="s">
        <v>93</v>
      </c>
      <c r="D363" s="40">
        <v>1306</v>
      </c>
      <c r="F363">
        <v>898</v>
      </c>
      <c r="G363" s="41">
        <v>43417</v>
      </c>
      <c r="H363" t="str">
        <v>TX</v>
      </c>
      <c r="I363">
        <v>1186</v>
      </c>
    </row>
    <row r="364" spans="1:9" x14ac:dyDescent="0.25">
      <c r="A364">
        <v>656</v>
      </c>
      <c r="B364" s="5">
        <v>43368</v>
      </c>
      <c r="C364" t="s">
        <v>94</v>
      </c>
      <c r="D364" s="40">
        <v>1191</v>
      </c>
      <c r="F364">
        <v>202</v>
      </c>
      <c r="G364" s="41">
        <v>43285</v>
      </c>
      <c r="H364" t="str">
        <v>TX</v>
      </c>
      <c r="I364">
        <v>1823</v>
      </c>
    </row>
    <row r="365" spans="1:9" x14ac:dyDescent="0.25">
      <c r="A365">
        <v>406</v>
      </c>
      <c r="B365" s="5">
        <v>43321</v>
      </c>
      <c r="C365" t="s">
        <v>94</v>
      </c>
      <c r="D365" s="40">
        <v>951</v>
      </c>
      <c r="F365">
        <v>220</v>
      </c>
      <c r="G365" s="41">
        <v>43288</v>
      </c>
      <c r="H365" t="str">
        <v>NY</v>
      </c>
      <c r="I365">
        <v>1368</v>
      </c>
    </row>
    <row r="366" spans="1:9" x14ac:dyDescent="0.25">
      <c r="A366">
        <v>276</v>
      </c>
      <c r="B366" s="5">
        <v>43296</v>
      </c>
      <c r="C366" t="s">
        <v>94</v>
      </c>
      <c r="D366" s="40">
        <v>549</v>
      </c>
      <c r="F366">
        <v>806</v>
      </c>
      <c r="G366" s="41">
        <v>43400</v>
      </c>
      <c r="H366" t="str">
        <v>NY</v>
      </c>
      <c r="I366">
        <v>1482</v>
      </c>
    </row>
    <row r="367" spans="1:9" x14ac:dyDescent="0.25">
      <c r="A367">
        <v>982</v>
      </c>
      <c r="B367" s="5">
        <v>43432</v>
      </c>
      <c r="C367" t="s">
        <v>92</v>
      </c>
      <c r="D367" s="40">
        <v>1827</v>
      </c>
      <c r="F367">
        <v>845</v>
      </c>
      <c r="G367" s="41">
        <v>43408</v>
      </c>
      <c r="H367" t="str">
        <v>NY</v>
      </c>
      <c r="I367">
        <v>1144</v>
      </c>
    </row>
    <row r="368" spans="1:9" x14ac:dyDescent="0.25">
      <c r="A368">
        <v>24</v>
      </c>
      <c r="B368" s="5">
        <v>43255</v>
      </c>
      <c r="C368" t="s">
        <v>93</v>
      </c>
      <c r="D368" s="40">
        <v>1180</v>
      </c>
      <c r="F368">
        <v>970</v>
      </c>
      <c r="G368" s="41">
        <v>43430</v>
      </c>
      <c r="H368" t="str">
        <v>TX</v>
      </c>
      <c r="I368">
        <v>1429</v>
      </c>
    </row>
    <row r="369" spans="1:9" x14ac:dyDescent="0.25">
      <c r="A369">
        <v>178</v>
      </c>
      <c r="B369" s="5">
        <v>43281</v>
      </c>
      <c r="C369" t="s">
        <v>92</v>
      </c>
      <c r="D369" s="40">
        <v>843</v>
      </c>
      <c r="F369">
        <v>912</v>
      </c>
      <c r="G369" s="41">
        <v>43420</v>
      </c>
      <c r="H369" t="str">
        <v>CA</v>
      </c>
      <c r="I369">
        <v>1892</v>
      </c>
    </row>
    <row r="370" spans="1:9" x14ac:dyDescent="0.25">
      <c r="A370">
        <v>325</v>
      </c>
      <c r="B370" s="5">
        <v>43305</v>
      </c>
      <c r="C370" t="s">
        <v>93</v>
      </c>
      <c r="D370" s="40">
        <v>1067</v>
      </c>
      <c r="F370">
        <v>952</v>
      </c>
      <c r="G370" s="41">
        <v>43426</v>
      </c>
      <c r="H370" t="str">
        <v>CA</v>
      </c>
      <c r="I370">
        <v>1190</v>
      </c>
    </row>
    <row r="371" spans="1:9" x14ac:dyDescent="0.25">
      <c r="A371">
        <v>716</v>
      </c>
      <c r="B371" s="5">
        <v>43383</v>
      </c>
      <c r="C371" t="s">
        <v>94</v>
      </c>
      <c r="D371" s="40">
        <v>1945</v>
      </c>
      <c r="F371">
        <v>520</v>
      </c>
      <c r="G371" s="41">
        <v>43342</v>
      </c>
      <c r="H371" t="str">
        <v>CA</v>
      </c>
      <c r="I371">
        <v>599</v>
      </c>
    </row>
    <row r="372" spans="1:9" x14ac:dyDescent="0.25">
      <c r="A372">
        <v>611</v>
      </c>
      <c r="B372" s="5">
        <v>43360</v>
      </c>
      <c r="C372" t="s">
        <v>93</v>
      </c>
      <c r="D372" s="40">
        <v>1548</v>
      </c>
      <c r="F372">
        <v>590</v>
      </c>
      <c r="G372" s="41">
        <v>43355</v>
      </c>
      <c r="H372" t="str">
        <v>NY</v>
      </c>
      <c r="I372">
        <v>1836</v>
      </c>
    </row>
    <row r="373" spans="1:9" x14ac:dyDescent="0.25">
      <c r="A373">
        <v>370</v>
      </c>
      <c r="B373" s="5">
        <v>43313</v>
      </c>
      <c r="C373" t="s">
        <v>93</v>
      </c>
      <c r="D373" s="40">
        <v>753</v>
      </c>
      <c r="F373">
        <v>920</v>
      </c>
      <c r="G373" s="41">
        <v>43420</v>
      </c>
      <c r="H373" t="str">
        <v>NY</v>
      </c>
      <c r="I373">
        <v>839</v>
      </c>
    </row>
    <row r="374" spans="1:9" x14ac:dyDescent="0.25">
      <c r="A374">
        <v>622</v>
      </c>
      <c r="B374" s="5">
        <v>43364</v>
      </c>
      <c r="C374" t="s">
        <v>93</v>
      </c>
      <c r="D374" s="40">
        <v>668</v>
      </c>
      <c r="F374">
        <v>253</v>
      </c>
      <c r="G374" s="41">
        <v>43294</v>
      </c>
      <c r="H374" t="str">
        <v>CA</v>
      </c>
      <c r="I374">
        <v>1049</v>
      </c>
    </row>
    <row r="375" spans="1:9" x14ac:dyDescent="0.25">
      <c r="A375">
        <v>722</v>
      </c>
      <c r="B375" s="5">
        <v>43384</v>
      </c>
      <c r="C375" t="s">
        <v>93</v>
      </c>
      <c r="D375" s="40">
        <v>1614</v>
      </c>
      <c r="F375">
        <v>597</v>
      </c>
      <c r="G375" s="41">
        <v>43356</v>
      </c>
      <c r="H375" t="str">
        <v>CA</v>
      </c>
      <c r="I375">
        <v>1733</v>
      </c>
    </row>
    <row r="376" spans="1:9" x14ac:dyDescent="0.25">
      <c r="A376">
        <v>712</v>
      </c>
      <c r="B376" s="5">
        <v>43382</v>
      </c>
      <c r="C376" t="s">
        <v>92</v>
      </c>
      <c r="D376" s="40">
        <v>1690</v>
      </c>
      <c r="F376">
        <v>582</v>
      </c>
      <c r="G376" s="41">
        <v>43354</v>
      </c>
      <c r="H376" t="str">
        <v>NY</v>
      </c>
      <c r="I376">
        <v>1694</v>
      </c>
    </row>
    <row r="377" spans="1:9" x14ac:dyDescent="0.25">
      <c r="A377">
        <v>541</v>
      </c>
      <c r="B377" s="5">
        <v>43346</v>
      </c>
      <c r="C377" t="s">
        <v>93</v>
      </c>
      <c r="D377" s="40">
        <v>723</v>
      </c>
      <c r="F377">
        <v>384</v>
      </c>
      <c r="G377" s="41">
        <v>43316</v>
      </c>
      <c r="H377" t="str">
        <v>CA</v>
      </c>
      <c r="I377">
        <v>1238</v>
      </c>
    </row>
    <row r="378" spans="1:9" x14ac:dyDescent="0.25">
      <c r="A378">
        <v>593</v>
      </c>
      <c r="B378" s="5">
        <v>43356</v>
      </c>
      <c r="C378" t="s">
        <v>92</v>
      </c>
      <c r="D378" s="40">
        <v>1894</v>
      </c>
      <c r="F378">
        <v>282</v>
      </c>
      <c r="G378" s="41">
        <v>43298</v>
      </c>
      <c r="H378" t="str">
        <v>CA</v>
      </c>
      <c r="I378">
        <v>813</v>
      </c>
    </row>
    <row r="379" spans="1:9" x14ac:dyDescent="0.25">
      <c r="A379">
        <v>7</v>
      </c>
      <c r="B379" s="5">
        <v>43253</v>
      </c>
      <c r="C379" t="s">
        <v>94</v>
      </c>
      <c r="D379" s="40">
        <v>1336</v>
      </c>
      <c r="F379">
        <v>814</v>
      </c>
      <c r="G379" s="41">
        <v>43401</v>
      </c>
      <c r="H379" t="str">
        <v>CA</v>
      </c>
      <c r="I379">
        <v>1094</v>
      </c>
    </row>
    <row r="380" spans="1:9" x14ac:dyDescent="0.25">
      <c r="A380">
        <v>693</v>
      </c>
      <c r="B380" s="5">
        <v>43378</v>
      </c>
      <c r="C380" t="s">
        <v>93</v>
      </c>
      <c r="D380" s="40">
        <v>1667</v>
      </c>
      <c r="F380">
        <v>673</v>
      </c>
      <c r="G380" s="41">
        <v>43372</v>
      </c>
      <c r="H380" t="str">
        <v>TX</v>
      </c>
      <c r="I380">
        <v>734</v>
      </c>
    </row>
    <row r="381" spans="1:9" x14ac:dyDescent="0.25">
      <c r="A381">
        <v>254</v>
      </c>
      <c r="B381" s="5">
        <v>43294</v>
      </c>
      <c r="C381" t="s">
        <v>92</v>
      </c>
      <c r="D381" s="40">
        <v>1207</v>
      </c>
      <c r="F381">
        <v>446</v>
      </c>
      <c r="G381" s="41">
        <v>43328</v>
      </c>
      <c r="H381" t="str">
        <v>TX</v>
      </c>
      <c r="I381">
        <v>1489</v>
      </c>
    </row>
    <row r="382" spans="1:9" x14ac:dyDescent="0.25">
      <c r="A382">
        <v>390</v>
      </c>
      <c r="B382" s="5">
        <v>43317</v>
      </c>
      <c r="C382" t="s">
        <v>93</v>
      </c>
      <c r="D382" s="40">
        <v>1762</v>
      </c>
      <c r="F382">
        <v>774</v>
      </c>
      <c r="G382" s="41">
        <v>43393</v>
      </c>
      <c r="H382" t="str">
        <v>NY</v>
      </c>
      <c r="I382">
        <v>511</v>
      </c>
    </row>
    <row r="383" spans="1:9" x14ac:dyDescent="0.25">
      <c r="A383">
        <v>876</v>
      </c>
      <c r="B383" s="5">
        <v>43414</v>
      </c>
      <c r="C383" t="s">
        <v>94</v>
      </c>
      <c r="D383" s="40">
        <v>817</v>
      </c>
      <c r="F383">
        <v>462</v>
      </c>
      <c r="G383" s="41">
        <v>43331</v>
      </c>
      <c r="H383" t="str">
        <v>NY</v>
      </c>
      <c r="I383">
        <v>712</v>
      </c>
    </row>
    <row r="384" spans="1:9" x14ac:dyDescent="0.25">
      <c r="A384">
        <v>880</v>
      </c>
      <c r="B384" s="5">
        <v>43415</v>
      </c>
      <c r="C384" t="s">
        <v>92</v>
      </c>
      <c r="D384" s="40">
        <v>1133</v>
      </c>
      <c r="F384">
        <v>836</v>
      </c>
      <c r="G384" s="41">
        <v>43407</v>
      </c>
      <c r="H384" t="str">
        <v>TX</v>
      </c>
      <c r="I384">
        <v>1297</v>
      </c>
    </row>
    <row r="385" spans="1:9" x14ac:dyDescent="0.25">
      <c r="A385">
        <v>398</v>
      </c>
      <c r="B385" s="5">
        <v>43320</v>
      </c>
      <c r="C385" t="s">
        <v>94</v>
      </c>
      <c r="D385" s="40">
        <v>1246</v>
      </c>
      <c r="F385">
        <v>349</v>
      </c>
      <c r="G385" s="41">
        <v>43310</v>
      </c>
      <c r="H385" t="str">
        <v>CA</v>
      </c>
      <c r="I385">
        <v>1640</v>
      </c>
    </row>
    <row r="386" spans="1:9" x14ac:dyDescent="0.25">
      <c r="A386">
        <v>519</v>
      </c>
      <c r="B386" s="5">
        <v>43342</v>
      </c>
      <c r="C386" t="s">
        <v>92</v>
      </c>
      <c r="D386" s="40">
        <v>1145</v>
      </c>
      <c r="F386">
        <v>810</v>
      </c>
      <c r="G386" s="41">
        <v>43401</v>
      </c>
      <c r="H386" t="str">
        <v>CA</v>
      </c>
      <c r="I386">
        <v>1352</v>
      </c>
    </row>
    <row r="387" spans="1:9" x14ac:dyDescent="0.25">
      <c r="A387">
        <v>998</v>
      </c>
      <c r="B387" s="5">
        <v>43434</v>
      </c>
      <c r="C387" t="s">
        <v>92</v>
      </c>
      <c r="D387" s="40">
        <v>1908</v>
      </c>
      <c r="F387">
        <v>942</v>
      </c>
      <c r="G387" s="41">
        <v>43424</v>
      </c>
      <c r="H387" t="str">
        <v>CA</v>
      </c>
      <c r="I387">
        <v>1428</v>
      </c>
    </row>
    <row r="388" spans="1:9" x14ac:dyDescent="0.25">
      <c r="A388">
        <v>631</v>
      </c>
      <c r="B388" s="5">
        <v>43365</v>
      </c>
      <c r="C388" t="s">
        <v>94</v>
      </c>
      <c r="D388" s="40">
        <v>883</v>
      </c>
      <c r="F388">
        <v>538</v>
      </c>
      <c r="G388" s="41">
        <v>43345</v>
      </c>
      <c r="H388" t="str">
        <v>TX</v>
      </c>
      <c r="I388">
        <v>1980</v>
      </c>
    </row>
    <row r="389" spans="1:9" x14ac:dyDescent="0.25">
      <c r="A389">
        <v>749</v>
      </c>
      <c r="B389" s="5">
        <v>43388</v>
      </c>
      <c r="C389" t="s">
        <v>94</v>
      </c>
      <c r="D389" s="40">
        <v>1938</v>
      </c>
      <c r="F389">
        <v>408</v>
      </c>
      <c r="G389" s="41">
        <v>43322</v>
      </c>
      <c r="H389" t="str">
        <v>NY</v>
      </c>
      <c r="I389">
        <v>517</v>
      </c>
    </row>
    <row r="390" spans="1:9" x14ac:dyDescent="0.25">
      <c r="A390">
        <v>278</v>
      </c>
      <c r="B390" s="5">
        <v>43297</v>
      </c>
      <c r="C390" t="s">
        <v>92</v>
      </c>
      <c r="D390" s="40">
        <v>1108</v>
      </c>
      <c r="F390">
        <v>426</v>
      </c>
      <c r="G390" s="41">
        <v>43325</v>
      </c>
      <c r="H390" t="str">
        <v>CA</v>
      </c>
      <c r="I390">
        <v>1680</v>
      </c>
    </row>
    <row r="391" spans="1:9" x14ac:dyDescent="0.25">
      <c r="A391">
        <v>630</v>
      </c>
      <c r="B391" s="5">
        <v>43365</v>
      </c>
      <c r="C391" t="s">
        <v>94</v>
      </c>
      <c r="D391" s="40">
        <v>1881</v>
      </c>
      <c r="F391">
        <v>926</v>
      </c>
      <c r="G391" s="41">
        <v>43422</v>
      </c>
      <c r="H391" t="str">
        <v>CA</v>
      </c>
      <c r="I391">
        <v>1281</v>
      </c>
    </row>
    <row r="392" spans="1:9" x14ac:dyDescent="0.25">
      <c r="A392">
        <v>290</v>
      </c>
      <c r="B392" s="5">
        <v>43299</v>
      </c>
      <c r="C392" t="s">
        <v>94</v>
      </c>
      <c r="D392" s="40">
        <v>1246</v>
      </c>
      <c r="F392">
        <v>895</v>
      </c>
      <c r="G392" s="41">
        <v>43416</v>
      </c>
      <c r="H392" t="str">
        <v>NY</v>
      </c>
      <c r="I392">
        <v>1057</v>
      </c>
    </row>
    <row r="393" spans="1:9" x14ac:dyDescent="0.25">
      <c r="A393">
        <v>356</v>
      </c>
      <c r="B393" s="5">
        <v>43311</v>
      </c>
      <c r="C393" t="s">
        <v>94</v>
      </c>
      <c r="D393" s="40">
        <v>1780</v>
      </c>
      <c r="F393">
        <v>402</v>
      </c>
      <c r="G393" s="41">
        <v>43320</v>
      </c>
      <c r="H393" t="str">
        <v>TX</v>
      </c>
      <c r="I393">
        <v>738</v>
      </c>
    </row>
    <row r="394" spans="1:9" x14ac:dyDescent="0.25">
      <c r="A394">
        <v>214</v>
      </c>
      <c r="B394" s="5">
        <v>43287</v>
      </c>
      <c r="C394" t="s">
        <v>93</v>
      </c>
      <c r="D394" s="40">
        <v>1314</v>
      </c>
      <c r="F394">
        <v>332</v>
      </c>
      <c r="G394" s="41">
        <v>43306</v>
      </c>
      <c r="H394" t="str">
        <v>NY</v>
      </c>
      <c r="I394">
        <v>1881</v>
      </c>
    </row>
    <row r="395" spans="1:9" x14ac:dyDescent="0.25">
      <c r="A395">
        <v>151</v>
      </c>
      <c r="B395" s="5">
        <v>43276</v>
      </c>
      <c r="C395" t="s">
        <v>93</v>
      </c>
      <c r="D395" s="40">
        <v>1979</v>
      </c>
      <c r="F395">
        <v>548</v>
      </c>
      <c r="G395" s="41">
        <v>43347</v>
      </c>
      <c r="H395" t="str">
        <v>TX</v>
      </c>
      <c r="I395">
        <v>1953</v>
      </c>
    </row>
    <row r="396" spans="1:9" x14ac:dyDescent="0.25">
      <c r="A396">
        <v>874</v>
      </c>
      <c r="B396" s="5">
        <v>43414</v>
      </c>
      <c r="C396" t="s">
        <v>92</v>
      </c>
      <c r="D396" s="40">
        <v>500</v>
      </c>
      <c r="F396">
        <v>655</v>
      </c>
      <c r="G396" s="41">
        <v>43368</v>
      </c>
      <c r="H396" t="str">
        <v>TX</v>
      </c>
      <c r="I396">
        <v>1378</v>
      </c>
    </row>
    <row r="397" spans="1:9" x14ac:dyDescent="0.25">
      <c r="A397">
        <v>605</v>
      </c>
      <c r="B397" s="5">
        <v>43357</v>
      </c>
      <c r="C397" t="s">
        <v>93</v>
      </c>
      <c r="D397" s="40">
        <v>1323</v>
      </c>
      <c r="F397">
        <v>389</v>
      </c>
      <c r="G397" s="41">
        <v>43317</v>
      </c>
      <c r="H397" t="str">
        <v>NY</v>
      </c>
      <c r="I397">
        <v>1522</v>
      </c>
    </row>
    <row r="398" spans="1:9" x14ac:dyDescent="0.25">
      <c r="A398">
        <v>52</v>
      </c>
      <c r="B398" s="5">
        <v>43260</v>
      </c>
      <c r="C398" t="s">
        <v>94</v>
      </c>
      <c r="D398" s="40">
        <v>1402</v>
      </c>
      <c r="F398">
        <v>399</v>
      </c>
      <c r="G398" s="41">
        <v>43320</v>
      </c>
      <c r="H398" t="str">
        <v>TX</v>
      </c>
      <c r="I398">
        <v>1733</v>
      </c>
    </row>
    <row r="399" spans="1:9" x14ac:dyDescent="0.25">
      <c r="A399">
        <v>637</v>
      </c>
      <c r="B399" s="5">
        <v>43365</v>
      </c>
      <c r="C399" t="s">
        <v>93</v>
      </c>
      <c r="D399" s="40">
        <v>1281</v>
      </c>
      <c r="F399">
        <v>967</v>
      </c>
      <c r="G399" s="41">
        <v>43429</v>
      </c>
      <c r="H399" t="str">
        <v>CA</v>
      </c>
      <c r="I399">
        <v>1379</v>
      </c>
    </row>
    <row r="400" spans="1:9" x14ac:dyDescent="0.25">
      <c r="A400">
        <v>3</v>
      </c>
      <c r="B400" s="5">
        <v>43252</v>
      </c>
      <c r="C400" t="s">
        <v>92</v>
      </c>
      <c r="D400" s="40">
        <v>960</v>
      </c>
      <c r="F400">
        <v>902</v>
      </c>
      <c r="G400" s="41">
        <v>43418</v>
      </c>
      <c r="H400" t="str">
        <v>TX</v>
      </c>
      <c r="I400">
        <v>1041</v>
      </c>
    </row>
    <row r="401" spans="1:9" x14ac:dyDescent="0.25">
      <c r="A401">
        <v>119</v>
      </c>
      <c r="B401" s="5">
        <v>43271</v>
      </c>
      <c r="C401" t="s">
        <v>92</v>
      </c>
      <c r="D401" s="40">
        <v>1880</v>
      </c>
      <c r="F401">
        <v>565</v>
      </c>
      <c r="G401" s="41">
        <v>43349</v>
      </c>
      <c r="H401" t="str">
        <v>NY</v>
      </c>
      <c r="I401">
        <v>1201</v>
      </c>
    </row>
    <row r="402" spans="1:9" x14ac:dyDescent="0.25">
      <c r="A402">
        <v>737</v>
      </c>
      <c r="B402" s="5">
        <v>43386</v>
      </c>
      <c r="C402" t="s">
        <v>94</v>
      </c>
      <c r="D402" s="40">
        <v>1836</v>
      </c>
      <c r="F402">
        <v>303</v>
      </c>
      <c r="G402" s="41">
        <v>43301</v>
      </c>
      <c r="H402" t="str">
        <v>NY</v>
      </c>
      <c r="I402">
        <v>991</v>
      </c>
    </row>
    <row r="403" spans="1:9" x14ac:dyDescent="0.25">
      <c r="A403">
        <v>103</v>
      </c>
      <c r="B403" s="5">
        <v>43268</v>
      </c>
      <c r="C403" t="s">
        <v>94</v>
      </c>
      <c r="D403" s="40">
        <v>689</v>
      </c>
      <c r="F403">
        <v>537</v>
      </c>
      <c r="G403" s="41">
        <v>43345</v>
      </c>
      <c r="H403" t="str">
        <v>CA</v>
      </c>
      <c r="I403">
        <v>1969</v>
      </c>
    </row>
    <row r="404" spans="1:9" x14ac:dyDescent="0.25">
      <c r="A404">
        <v>629</v>
      </c>
      <c r="B404" s="5">
        <v>43365</v>
      </c>
      <c r="C404" t="s">
        <v>94</v>
      </c>
      <c r="D404" s="40">
        <v>1290</v>
      </c>
      <c r="F404">
        <v>707</v>
      </c>
      <c r="G404" s="41">
        <v>43381</v>
      </c>
      <c r="H404" t="str">
        <v>CA</v>
      </c>
      <c r="I404">
        <v>1098</v>
      </c>
    </row>
    <row r="405" spans="1:9" x14ac:dyDescent="0.25">
      <c r="A405">
        <v>147</v>
      </c>
      <c r="B405" s="5">
        <v>43275</v>
      </c>
      <c r="C405" t="s">
        <v>94</v>
      </c>
      <c r="D405" s="40">
        <v>1986</v>
      </c>
      <c r="F405">
        <v>185</v>
      </c>
      <c r="G405" s="41">
        <v>43283</v>
      </c>
      <c r="H405" t="str">
        <v>NY</v>
      </c>
      <c r="I405">
        <v>1745</v>
      </c>
    </row>
    <row r="406" spans="1:9" x14ac:dyDescent="0.25">
      <c r="A406">
        <v>744</v>
      </c>
      <c r="B406" s="5">
        <v>43387</v>
      </c>
      <c r="C406" t="s">
        <v>92</v>
      </c>
      <c r="D406" s="40">
        <v>1276</v>
      </c>
      <c r="F406">
        <v>281</v>
      </c>
      <c r="G406" s="41">
        <v>43298</v>
      </c>
      <c r="H406" t="str">
        <v>NY</v>
      </c>
      <c r="I406">
        <v>820</v>
      </c>
    </row>
    <row r="407" spans="1:9" x14ac:dyDescent="0.25">
      <c r="A407">
        <v>823</v>
      </c>
      <c r="B407" s="5">
        <v>43403</v>
      </c>
      <c r="C407" t="s">
        <v>93</v>
      </c>
      <c r="D407" s="40">
        <v>1297</v>
      </c>
      <c r="F407">
        <v>449</v>
      </c>
      <c r="G407" s="41">
        <v>43329</v>
      </c>
      <c r="H407" t="str">
        <v>TX</v>
      </c>
      <c r="I407">
        <v>687</v>
      </c>
    </row>
    <row r="408" spans="1:9" x14ac:dyDescent="0.25">
      <c r="A408">
        <v>445</v>
      </c>
      <c r="B408" s="5">
        <v>43328</v>
      </c>
      <c r="C408" t="s">
        <v>92</v>
      </c>
      <c r="D408" s="40">
        <v>1113</v>
      </c>
      <c r="F408">
        <v>819</v>
      </c>
      <c r="G408" s="41">
        <v>43402</v>
      </c>
      <c r="H408" t="str">
        <v>CA</v>
      </c>
      <c r="I408">
        <v>583</v>
      </c>
    </row>
    <row r="409" spans="1:9" x14ac:dyDescent="0.25">
      <c r="A409">
        <v>37</v>
      </c>
      <c r="B409" s="5">
        <v>43257</v>
      </c>
      <c r="C409" t="s">
        <v>94</v>
      </c>
      <c r="D409" s="40">
        <v>1078</v>
      </c>
      <c r="F409">
        <v>682</v>
      </c>
      <c r="G409" s="41">
        <v>43375</v>
      </c>
      <c r="H409" t="str">
        <v>CA</v>
      </c>
      <c r="I409">
        <v>1477</v>
      </c>
    </row>
    <row r="410" spans="1:9" x14ac:dyDescent="0.25">
      <c r="A410">
        <v>916</v>
      </c>
      <c r="B410" s="5">
        <v>43420</v>
      </c>
      <c r="C410" t="s">
        <v>93</v>
      </c>
      <c r="D410" s="40">
        <v>608</v>
      </c>
      <c r="F410">
        <v>809</v>
      </c>
      <c r="G410" s="41">
        <v>43401</v>
      </c>
      <c r="H410" t="str">
        <v>NY</v>
      </c>
      <c r="I410">
        <v>1990</v>
      </c>
    </row>
    <row r="411" spans="1:9" x14ac:dyDescent="0.25">
      <c r="A411">
        <v>59</v>
      </c>
      <c r="B411" s="5">
        <v>43261</v>
      </c>
      <c r="C411" t="s">
        <v>92</v>
      </c>
      <c r="D411" s="40">
        <v>1866</v>
      </c>
      <c r="F411">
        <v>269</v>
      </c>
      <c r="G411" s="41">
        <v>43296</v>
      </c>
      <c r="H411" t="str">
        <v>NY</v>
      </c>
      <c r="I411">
        <v>1136</v>
      </c>
    </row>
    <row r="412" spans="1:9" x14ac:dyDescent="0.25">
      <c r="A412">
        <v>414</v>
      </c>
      <c r="B412" s="5">
        <v>43323</v>
      </c>
      <c r="C412" t="s">
        <v>94</v>
      </c>
      <c r="D412" s="40">
        <v>1002</v>
      </c>
      <c r="F412">
        <v>672</v>
      </c>
      <c r="G412" s="41">
        <v>43372</v>
      </c>
      <c r="H412" t="str">
        <v>NY</v>
      </c>
      <c r="I412">
        <v>1604</v>
      </c>
    </row>
    <row r="413" spans="1:9" x14ac:dyDescent="0.25">
      <c r="A413">
        <v>879</v>
      </c>
      <c r="B413" s="5">
        <v>43414</v>
      </c>
      <c r="C413" t="s">
        <v>92</v>
      </c>
      <c r="D413" s="40">
        <v>1558</v>
      </c>
      <c r="F413">
        <v>612</v>
      </c>
      <c r="G413" s="41">
        <v>43360</v>
      </c>
      <c r="H413" t="str">
        <v>CA</v>
      </c>
      <c r="I413">
        <v>801</v>
      </c>
    </row>
    <row r="414" spans="1:9" x14ac:dyDescent="0.25">
      <c r="A414">
        <v>297</v>
      </c>
      <c r="B414" s="5">
        <v>43300</v>
      </c>
      <c r="C414" t="s">
        <v>92</v>
      </c>
      <c r="D414" s="40">
        <v>1620</v>
      </c>
      <c r="F414">
        <v>762</v>
      </c>
      <c r="G414" s="41">
        <v>43390</v>
      </c>
      <c r="H414" t="str">
        <v>CA</v>
      </c>
      <c r="I414">
        <v>1722</v>
      </c>
    </row>
    <row r="415" spans="1:9" x14ac:dyDescent="0.25">
      <c r="A415">
        <v>740</v>
      </c>
      <c r="B415" s="5">
        <v>43386</v>
      </c>
      <c r="C415" t="s">
        <v>92</v>
      </c>
      <c r="D415" s="40">
        <v>1404</v>
      </c>
      <c r="F415">
        <v>300</v>
      </c>
      <c r="G415" s="41">
        <v>43301</v>
      </c>
      <c r="H415" t="str">
        <v>CA</v>
      </c>
      <c r="I415">
        <v>678</v>
      </c>
    </row>
    <row r="416" spans="1:9" x14ac:dyDescent="0.25">
      <c r="A416">
        <v>383</v>
      </c>
      <c r="B416" s="5">
        <v>43316</v>
      </c>
      <c r="C416" t="s">
        <v>94</v>
      </c>
      <c r="D416" s="40">
        <v>654</v>
      </c>
      <c r="F416">
        <v>204</v>
      </c>
      <c r="G416" s="41">
        <v>43286</v>
      </c>
      <c r="H416" t="str">
        <v>NY</v>
      </c>
      <c r="I416">
        <v>1410</v>
      </c>
    </row>
    <row r="417" spans="1:9" x14ac:dyDescent="0.25">
      <c r="A417">
        <v>533</v>
      </c>
      <c r="B417" s="5">
        <v>43344</v>
      </c>
      <c r="C417" t="s">
        <v>92</v>
      </c>
      <c r="D417" s="40">
        <v>717</v>
      </c>
      <c r="F417">
        <v>480</v>
      </c>
      <c r="G417" s="41">
        <v>43334</v>
      </c>
      <c r="H417" t="str">
        <v>NY</v>
      </c>
      <c r="I417">
        <v>1019</v>
      </c>
    </row>
    <row r="418" spans="1:9" x14ac:dyDescent="0.25">
      <c r="A418">
        <v>376</v>
      </c>
      <c r="B418" s="5">
        <v>43314</v>
      </c>
      <c r="C418" t="s">
        <v>92</v>
      </c>
      <c r="D418" s="40">
        <v>558</v>
      </c>
      <c r="F418">
        <v>514</v>
      </c>
      <c r="G418" s="41">
        <v>43340</v>
      </c>
      <c r="H418" t="str">
        <v>CA</v>
      </c>
      <c r="I418">
        <v>809</v>
      </c>
    </row>
    <row r="419" spans="1:9" x14ac:dyDescent="0.25">
      <c r="A419">
        <v>684</v>
      </c>
      <c r="B419" s="5">
        <v>43375</v>
      </c>
      <c r="C419" t="s">
        <v>92</v>
      </c>
      <c r="D419" s="40">
        <v>553</v>
      </c>
      <c r="F419">
        <v>510</v>
      </c>
      <c r="G419" s="41">
        <v>43339</v>
      </c>
      <c r="H419" t="str">
        <v>NY</v>
      </c>
      <c r="I419">
        <v>1648</v>
      </c>
    </row>
    <row r="420" spans="1:9" x14ac:dyDescent="0.25">
      <c r="A420">
        <v>235</v>
      </c>
      <c r="B420" s="5">
        <v>43291</v>
      </c>
      <c r="C420" t="s">
        <v>92</v>
      </c>
      <c r="D420" s="40">
        <v>1569</v>
      </c>
      <c r="F420">
        <v>822</v>
      </c>
      <c r="G420" s="41">
        <v>43403</v>
      </c>
      <c r="H420" t="str">
        <v>NY</v>
      </c>
      <c r="I420">
        <v>743</v>
      </c>
    </row>
    <row r="421" spans="1:9" x14ac:dyDescent="0.25">
      <c r="A421">
        <v>877</v>
      </c>
      <c r="B421" s="5">
        <v>43414</v>
      </c>
      <c r="C421" t="s">
        <v>92</v>
      </c>
      <c r="D421" s="40">
        <v>961</v>
      </c>
      <c r="F421">
        <v>195</v>
      </c>
      <c r="G421" s="41">
        <v>43283</v>
      </c>
      <c r="H421" t="str">
        <v>CA</v>
      </c>
      <c r="I421">
        <v>1421</v>
      </c>
    </row>
    <row r="422" spans="1:9" x14ac:dyDescent="0.25">
      <c r="A422">
        <v>752</v>
      </c>
      <c r="B422" s="5">
        <v>43388</v>
      </c>
      <c r="C422" t="s">
        <v>93</v>
      </c>
      <c r="D422" s="40">
        <v>1637</v>
      </c>
      <c r="F422">
        <v>273</v>
      </c>
      <c r="G422" s="41">
        <v>43296</v>
      </c>
      <c r="H422" t="str">
        <v>CA</v>
      </c>
      <c r="I422">
        <v>1437</v>
      </c>
    </row>
    <row r="423" spans="1:9" x14ac:dyDescent="0.25">
      <c r="A423">
        <v>587</v>
      </c>
      <c r="B423" s="5">
        <v>43355</v>
      </c>
      <c r="C423" t="s">
        <v>93</v>
      </c>
      <c r="D423" s="40">
        <v>775</v>
      </c>
      <c r="F423">
        <v>666</v>
      </c>
      <c r="G423" s="41">
        <v>43369</v>
      </c>
      <c r="H423" t="str">
        <v>TX</v>
      </c>
      <c r="I423">
        <v>728</v>
      </c>
    </row>
    <row r="424" spans="1:9" x14ac:dyDescent="0.25">
      <c r="A424">
        <v>439</v>
      </c>
      <c r="B424" s="5">
        <v>43327</v>
      </c>
      <c r="C424" t="s">
        <v>94</v>
      </c>
      <c r="D424" s="40">
        <v>1458</v>
      </c>
      <c r="F424">
        <v>990</v>
      </c>
      <c r="G424" s="41">
        <v>43433</v>
      </c>
      <c r="H424" t="str">
        <v>TX</v>
      </c>
      <c r="I424">
        <v>1071</v>
      </c>
    </row>
    <row r="425" spans="1:9" x14ac:dyDescent="0.25">
      <c r="A425">
        <v>544</v>
      </c>
      <c r="B425" s="5">
        <v>43346</v>
      </c>
      <c r="C425" t="s">
        <v>92</v>
      </c>
      <c r="D425" s="40">
        <v>1368</v>
      </c>
      <c r="F425">
        <v>972</v>
      </c>
      <c r="G425" s="41">
        <v>43431</v>
      </c>
      <c r="H425" t="str">
        <v>NY</v>
      </c>
      <c r="I425">
        <v>1816</v>
      </c>
    </row>
    <row r="426" spans="1:9" x14ac:dyDescent="0.25">
      <c r="A426">
        <v>130</v>
      </c>
      <c r="B426" s="5">
        <v>43273</v>
      </c>
      <c r="C426" t="s">
        <v>93</v>
      </c>
      <c r="D426" s="40">
        <v>713</v>
      </c>
      <c r="F426">
        <v>706</v>
      </c>
      <c r="G426" s="41">
        <v>43381</v>
      </c>
      <c r="H426" t="str">
        <v>TX</v>
      </c>
      <c r="I426">
        <v>687</v>
      </c>
    </row>
    <row r="427" spans="1:9" x14ac:dyDescent="0.25">
      <c r="A427">
        <v>44</v>
      </c>
      <c r="B427" s="5">
        <v>43258</v>
      </c>
      <c r="C427" t="s">
        <v>92</v>
      </c>
      <c r="D427" s="40">
        <v>1354</v>
      </c>
      <c r="F427">
        <v>768</v>
      </c>
      <c r="G427" s="41">
        <v>43392</v>
      </c>
      <c r="H427" t="str">
        <v>TX</v>
      </c>
      <c r="I427">
        <v>1115</v>
      </c>
    </row>
    <row r="428" spans="1:9" x14ac:dyDescent="0.25">
      <c r="A428">
        <v>187</v>
      </c>
      <c r="B428" s="5">
        <v>43283</v>
      </c>
      <c r="C428" t="s">
        <v>92</v>
      </c>
      <c r="D428" s="40">
        <v>921</v>
      </c>
      <c r="F428">
        <v>306</v>
      </c>
      <c r="G428" s="41">
        <v>43302</v>
      </c>
      <c r="H428" t="str">
        <v>NY</v>
      </c>
      <c r="I428">
        <v>1804</v>
      </c>
    </row>
    <row r="429" spans="1:9" x14ac:dyDescent="0.25">
      <c r="A429">
        <v>211</v>
      </c>
      <c r="B429" s="5">
        <v>43287</v>
      </c>
      <c r="C429" t="s">
        <v>92</v>
      </c>
      <c r="D429" s="40">
        <v>1668</v>
      </c>
      <c r="F429">
        <v>316</v>
      </c>
      <c r="G429" s="41">
        <v>43304</v>
      </c>
      <c r="H429" t="str">
        <v>NY</v>
      </c>
      <c r="I429">
        <v>1391</v>
      </c>
    </row>
    <row r="430" spans="1:9" x14ac:dyDescent="0.25">
      <c r="A430">
        <v>704</v>
      </c>
      <c r="B430" s="5">
        <v>43381</v>
      </c>
      <c r="C430" t="s">
        <v>92</v>
      </c>
      <c r="D430" s="40">
        <v>811</v>
      </c>
      <c r="F430">
        <v>271</v>
      </c>
      <c r="G430" s="41">
        <v>43296</v>
      </c>
      <c r="H430" t="str">
        <v>CA</v>
      </c>
      <c r="I430">
        <v>568</v>
      </c>
    </row>
    <row r="431" spans="1:9" x14ac:dyDescent="0.25">
      <c r="A431">
        <v>168</v>
      </c>
      <c r="B431" s="5">
        <v>43279</v>
      </c>
      <c r="C431" t="s">
        <v>94</v>
      </c>
      <c r="D431" s="40">
        <v>559</v>
      </c>
      <c r="F431">
        <v>279</v>
      </c>
      <c r="G431" s="41">
        <v>43297</v>
      </c>
      <c r="H431" t="str">
        <v>TX</v>
      </c>
      <c r="I431">
        <v>848</v>
      </c>
    </row>
    <row r="432" spans="1:9" x14ac:dyDescent="0.25">
      <c r="A432">
        <v>601</v>
      </c>
      <c r="B432" s="5">
        <v>43356</v>
      </c>
      <c r="C432" t="s">
        <v>94</v>
      </c>
      <c r="D432" s="40">
        <v>859</v>
      </c>
      <c r="F432">
        <v>905</v>
      </c>
      <c r="G432" s="41">
        <v>43419</v>
      </c>
      <c r="H432" t="str">
        <v>CA</v>
      </c>
      <c r="I432">
        <v>1358</v>
      </c>
    </row>
    <row r="433" spans="1:9" x14ac:dyDescent="0.25">
      <c r="A433">
        <v>828</v>
      </c>
      <c r="B433" s="5">
        <v>43404</v>
      </c>
      <c r="C433" t="s">
        <v>93</v>
      </c>
      <c r="D433" s="40">
        <v>1232</v>
      </c>
      <c r="F433">
        <v>853</v>
      </c>
      <c r="G433" s="41">
        <v>43410</v>
      </c>
      <c r="H433" t="str">
        <v>CA</v>
      </c>
      <c r="I433">
        <v>873</v>
      </c>
    </row>
    <row r="434" spans="1:9" x14ac:dyDescent="0.25">
      <c r="A434">
        <v>572</v>
      </c>
      <c r="B434" s="5">
        <v>43350</v>
      </c>
      <c r="C434" t="s">
        <v>92</v>
      </c>
      <c r="D434" s="40">
        <v>1293</v>
      </c>
      <c r="F434">
        <v>694</v>
      </c>
      <c r="G434" s="41">
        <v>43378</v>
      </c>
      <c r="H434" t="str">
        <v>TX</v>
      </c>
      <c r="I434">
        <v>1245</v>
      </c>
    </row>
    <row r="435" spans="1:9" x14ac:dyDescent="0.25">
      <c r="A435">
        <v>226</v>
      </c>
      <c r="B435" s="5">
        <v>43289</v>
      </c>
      <c r="C435" t="s">
        <v>94</v>
      </c>
      <c r="D435" s="40">
        <v>639</v>
      </c>
      <c r="F435">
        <v>658</v>
      </c>
      <c r="G435" s="41">
        <v>43368</v>
      </c>
      <c r="H435" t="str">
        <v>NY</v>
      </c>
      <c r="I435">
        <v>916</v>
      </c>
    </row>
    <row r="436" spans="1:9" x14ac:dyDescent="0.25">
      <c r="A436">
        <v>512</v>
      </c>
      <c r="B436" s="5">
        <v>43340</v>
      </c>
      <c r="C436" t="s">
        <v>92</v>
      </c>
      <c r="D436" s="40">
        <v>1068</v>
      </c>
      <c r="F436">
        <v>501</v>
      </c>
      <c r="G436" s="41">
        <v>43338</v>
      </c>
      <c r="H436" t="str">
        <v>TX</v>
      </c>
      <c r="I436">
        <v>1761</v>
      </c>
    </row>
    <row r="437" spans="1:9" x14ac:dyDescent="0.25">
      <c r="A437">
        <v>957</v>
      </c>
      <c r="B437" s="5">
        <v>43427</v>
      </c>
      <c r="C437" t="s">
        <v>94</v>
      </c>
      <c r="D437" s="40">
        <v>635</v>
      </c>
      <c r="F437">
        <v>431</v>
      </c>
      <c r="G437" s="41">
        <v>43326</v>
      </c>
      <c r="H437" t="str">
        <v>NY</v>
      </c>
      <c r="I437">
        <v>1021</v>
      </c>
    </row>
    <row r="438" spans="1:9" x14ac:dyDescent="0.25">
      <c r="A438">
        <v>157</v>
      </c>
      <c r="B438" s="5">
        <v>43277</v>
      </c>
      <c r="C438" t="s">
        <v>93</v>
      </c>
      <c r="D438" s="40">
        <v>571</v>
      </c>
      <c r="F438">
        <v>465</v>
      </c>
      <c r="G438" s="41">
        <v>43332</v>
      </c>
      <c r="H438" t="str">
        <v>CA</v>
      </c>
      <c r="I438">
        <v>1529</v>
      </c>
    </row>
    <row r="439" spans="1:9" x14ac:dyDescent="0.25">
      <c r="A439">
        <v>338</v>
      </c>
      <c r="B439" s="5">
        <v>43307</v>
      </c>
      <c r="C439" t="s">
        <v>94</v>
      </c>
      <c r="D439" s="40">
        <v>985</v>
      </c>
      <c r="F439">
        <v>846</v>
      </c>
      <c r="G439" s="41">
        <v>43409</v>
      </c>
      <c r="H439" t="str">
        <v>CA</v>
      </c>
      <c r="I439">
        <v>584</v>
      </c>
    </row>
    <row r="440" spans="1:9" x14ac:dyDescent="0.25">
      <c r="A440">
        <v>692</v>
      </c>
      <c r="B440" s="5">
        <v>43378</v>
      </c>
      <c r="C440" t="s">
        <v>93</v>
      </c>
      <c r="D440" s="40">
        <v>722</v>
      </c>
      <c r="F440">
        <v>758</v>
      </c>
      <c r="G440" s="41">
        <v>43389</v>
      </c>
      <c r="H440" t="str">
        <v>TX</v>
      </c>
      <c r="I440">
        <v>1736</v>
      </c>
    </row>
    <row r="441" spans="1:9" x14ac:dyDescent="0.25">
      <c r="A441">
        <v>515</v>
      </c>
      <c r="B441" s="5">
        <v>43341</v>
      </c>
      <c r="C441" t="s">
        <v>93</v>
      </c>
      <c r="D441" s="40">
        <v>1138</v>
      </c>
      <c r="F441">
        <v>894</v>
      </c>
      <c r="G441" s="41">
        <v>43416</v>
      </c>
      <c r="H441" t="str">
        <v>NY</v>
      </c>
      <c r="I441">
        <v>1139</v>
      </c>
    </row>
    <row r="442" spans="1:9" x14ac:dyDescent="0.25">
      <c r="A442">
        <v>944</v>
      </c>
      <c r="B442" s="5">
        <v>43424</v>
      </c>
      <c r="C442" t="s">
        <v>92</v>
      </c>
      <c r="D442" s="40">
        <v>1579</v>
      </c>
      <c r="F442">
        <v>378</v>
      </c>
      <c r="G442" s="41">
        <v>43315</v>
      </c>
      <c r="H442" t="str">
        <v>TX</v>
      </c>
      <c r="I442">
        <v>1731</v>
      </c>
    </row>
    <row r="443" spans="1:9" x14ac:dyDescent="0.25">
      <c r="A443">
        <v>442</v>
      </c>
      <c r="B443" s="5">
        <v>43328</v>
      </c>
      <c r="C443" t="s">
        <v>93</v>
      </c>
      <c r="D443" s="40">
        <v>1345</v>
      </c>
      <c r="F443">
        <v>535</v>
      </c>
      <c r="G443" s="41">
        <v>43345</v>
      </c>
      <c r="H443" t="str">
        <v>TX</v>
      </c>
      <c r="I443">
        <v>555</v>
      </c>
    </row>
    <row r="444" spans="1:9" x14ac:dyDescent="0.25">
      <c r="A444">
        <v>909</v>
      </c>
      <c r="B444" s="5">
        <v>43419</v>
      </c>
      <c r="C444" t="s">
        <v>94</v>
      </c>
      <c r="D444" s="40">
        <v>1841</v>
      </c>
      <c r="F444">
        <v>255</v>
      </c>
      <c r="G444" s="41">
        <v>43294</v>
      </c>
      <c r="H444" t="str">
        <v>NY</v>
      </c>
      <c r="I444">
        <v>1243</v>
      </c>
    </row>
    <row r="445" spans="1:9" x14ac:dyDescent="0.25">
      <c r="A445">
        <v>22</v>
      </c>
      <c r="B445" s="5">
        <v>43255</v>
      </c>
      <c r="C445" t="s">
        <v>93</v>
      </c>
      <c r="D445" s="40">
        <v>1702</v>
      </c>
      <c r="F445">
        <v>614</v>
      </c>
      <c r="G445" s="41">
        <v>43360</v>
      </c>
      <c r="H445" t="str">
        <v>NY</v>
      </c>
      <c r="I445">
        <v>608</v>
      </c>
    </row>
    <row r="446" spans="1:9" x14ac:dyDescent="0.25">
      <c r="A446">
        <v>365</v>
      </c>
      <c r="B446" s="5">
        <v>43313</v>
      </c>
      <c r="C446" t="s">
        <v>93</v>
      </c>
      <c r="D446" s="40">
        <v>543</v>
      </c>
      <c r="F446">
        <v>283</v>
      </c>
      <c r="G446" s="41">
        <v>43298</v>
      </c>
      <c r="H446" t="str">
        <v>TX</v>
      </c>
      <c r="I446">
        <v>1936</v>
      </c>
    </row>
    <row r="447" spans="1:9" x14ac:dyDescent="0.25">
      <c r="A447">
        <v>584</v>
      </c>
      <c r="B447" s="5">
        <v>43354</v>
      </c>
      <c r="C447" t="s">
        <v>92</v>
      </c>
      <c r="D447" s="40">
        <v>659</v>
      </c>
      <c r="F447">
        <v>394</v>
      </c>
      <c r="G447" s="41">
        <v>43318</v>
      </c>
      <c r="H447" t="str">
        <v>NY</v>
      </c>
      <c r="I447">
        <v>1547</v>
      </c>
    </row>
    <row r="448" spans="1:9" x14ac:dyDescent="0.25">
      <c r="A448">
        <v>174</v>
      </c>
      <c r="B448" s="5">
        <v>43280</v>
      </c>
      <c r="C448" t="s">
        <v>93</v>
      </c>
      <c r="D448" s="40">
        <v>570</v>
      </c>
      <c r="F448">
        <v>517</v>
      </c>
      <c r="G448" s="41">
        <v>43342</v>
      </c>
      <c r="H448" t="str">
        <v>CA</v>
      </c>
      <c r="I448">
        <v>1695</v>
      </c>
    </row>
    <row r="449" spans="1:9" x14ac:dyDescent="0.25">
      <c r="A449">
        <v>148</v>
      </c>
      <c r="B449" s="5">
        <v>43275</v>
      </c>
      <c r="C449" t="s">
        <v>93</v>
      </c>
      <c r="D449" s="40">
        <v>736</v>
      </c>
      <c r="F449">
        <v>941</v>
      </c>
      <c r="G449" s="41">
        <v>43424</v>
      </c>
      <c r="H449" t="str">
        <v>TX</v>
      </c>
      <c r="I449">
        <v>1848</v>
      </c>
    </row>
    <row r="450" spans="1:9" x14ac:dyDescent="0.25">
      <c r="A450">
        <v>444</v>
      </c>
      <c r="B450" s="5">
        <v>43328</v>
      </c>
      <c r="C450" t="s">
        <v>92</v>
      </c>
      <c r="D450" s="40">
        <v>1131</v>
      </c>
      <c r="F450">
        <v>382</v>
      </c>
      <c r="G450" s="41">
        <v>43315</v>
      </c>
      <c r="H450" t="str">
        <v>CA</v>
      </c>
      <c r="I450">
        <v>1412</v>
      </c>
    </row>
    <row r="451" spans="1:9" x14ac:dyDescent="0.25">
      <c r="A451">
        <v>373</v>
      </c>
      <c r="B451" s="5">
        <v>43314</v>
      </c>
      <c r="C451" t="s">
        <v>94</v>
      </c>
      <c r="D451" s="40">
        <v>1382</v>
      </c>
      <c r="F451">
        <v>228</v>
      </c>
      <c r="G451" s="41">
        <v>43289</v>
      </c>
      <c r="H451" t="str">
        <v>TX</v>
      </c>
      <c r="I451">
        <v>568</v>
      </c>
    </row>
    <row r="452" spans="1:9" x14ac:dyDescent="0.25">
      <c r="A452">
        <v>983</v>
      </c>
      <c r="B452" s="5">
        <v>43432</v>
      </c>
      <c r="C452" t="s">
        <v>93</v>
      </c>
      <c r="D452" s="40">
        <v>1494</v>
      </c>
      <c r="F452">
        <v>455</v>
      </c>
      <c r="G452" s="41">
        <v>43330</v>
      </c>
      <c r="H452" t="str">
        <v>NY</v>
      </c>
      <c r="I452">
        <v>1038</v>
      </c>
    </row>
    <row r="453" spans="1:9" x14ac:dyDescent="0.25">
      <c r="A453">
        <v>450</v>
      </c>
      <c r="B453" s="5">
        <v>43329</v>
      </c>
      <c r="C453" t="s">
        <v>94</v>
      </c>
      <c r="D453" s="40">
        <v>1845</v>
      </c>
      <c r="F453">
        <v>680</v>
      </c>
      <c r="G453" s="41">
        <v>43374</v>
      </c>
      <c r="H453" t="str">
        <v>CA</v>
      </c>
      <c r="I453">
        <v>1760</v>
      </c>
    </row>
    <row r="454" spans="1:9" x14ac:dyDescent="0.25">
      <c r="A454">
        <v>898</v>
      </c>
      <c r="B454" s="5">
        <v>43417</v>
      </c>
      <c r="C454" t="s">
        <v>94</v>
      </c>
      <c r="D454" s="40">
        <v>1186</v>
      </c>
      <c r="F454">
        <v>451</v>
      </c>
      <c r="G454" s="41">
        <v>43329</v>
      </c>
      <c r="H454" t="str">
        <v>NY</v>
      </c>
      <c r="I454">
        <v>578</v>
      </c>
    </row>
    <row r="455" spans="1:9" x14ac:dyDescent="0.25">
      <c r="A455">
        <v>202</v>
      </c>
      <c r="B455" s="5">
        <v>43285</v>
      </c>
      <c r="C455" t="s">
        <v>94</v>
      </c>
      <c r="D455" s="40">
        <v>1823</v>
      </c>
      <c r="F455">
        <v>327</v>
      </c>
      <c r="G455" s="41">
        <v>43305</v>
      </c>
      <c r="H455" t="str">
        <v>TX</v>
      </c>
      <c r="I455">
        <v>851</v>
      </c>
    </row>
    <row r="456" spans="1:9" x14ac:dyDescent="0.25">
      <c r="A456">
        <v>220</v>
      </c>
      <c r="B456" s="5">
        <v>43288</v>
      </c>
      <c r="C456" t="s">
        <v>93</v>
      </c>
      <c r="D456" s="40">
        <v>1368</v>
      </c>
      <c r="F456">
        <v>634</v>
      </c>
      <c r="G456" s="41">
        <v>43365</v>
      </c>
      <c r="H456" t="str">
        <v>CA</v>
      </c>
      <c r="I456">
        <v>1418</v>
      </c>
    </row>
    <row r="457" spans="1:9" x14ac:dyDescent="0.25">
      <c r="A457">
        <v>806</v>
      </c>
      <c r="B457" s="5">
        <v>43400</v>
      </c>
      <c r="C457" t="s">
        <v>93</v>
      </c>
      <c r="D457" s="40">
        <v>1482</v>
      </c>
      <c r="F457">
        <v>341</v>
      </c>
      <c r="G457" s="41">
        <v>43308</v>
      </c>
      <c r="H457" t="str">
        <v>CA</v>
      </c>
      <c r="I457">
        <v>1741</v>
      </c>
    </row>
    <row r="458" spans="1:9" x14ac:dyDescent="0.25">
      <c r="A458">
        <v>845</v>
      </c>
      <c r="B458" s="5">
        <v>43408</v>
      </c>
      <c r="C458" t="s">
        <v>93</v>
      </c>
      <c r="D458" s="40">
        <v>1144</v>
      </c>
      <c r="F458">
        <v>606</v>
      </c>
      <c r="G458" s="41">
        <v>43357</v>
      </c>
      <c r="H458" t="str">
        <v>CA</v>
      </c>
      <c r="I458">
        <v>1495</v>
      </c>
    </row>
    <row r="459" spans="1:9" x14ac:dyDescent="0.25">
      <c r="A459">
        <v>73</v>
      </c>
      <c r="B459" s="5">
        <v>43264</v>
      </c>
      <c r="C459" t="s">
        <v>93</v>
      </c>
      <c r="D459" s="40">
        <v>1924</v>
      </c>
      <c r="F459">
        <v>934</v>
      </c>
      <c r="G459" s="41">
        <v>43423</v>
      </c>
      <c r="H459" t="str">
        <v>CA</v>
      </c>
      <c r="I459">
        <v>755</v>
      </c>
    </row>
    <row r="460" spans="1:9" x14ac:dyDescent="0.25">
      <c r="A460">
        <v>970</v>
      </c>
      <c r="B460" s="5">
        <v>43430</v>
      </c>
      <c r="C460" t="s">
        <v>94</v>
      </c>
      <c r="D460" s="40">
        <v>1429</v>
      </c>
      <c r="F460">
        <v>617</v>
      </c>
      <c r="G460" s="41">
        <v>43362</v>
      </c>
      <c r="H460" t="str">
        <v>CA</v>
      </c>
      <c r="I460">
        <v>1426</v>
      </c>
    </row>
    <row r="461" spans="1:9" x14ac:dyDescent="0.25">
      <c r="A461">
        <v>912</v>
      </c>
      <c r="B461" s="5">
        <v>43420</v>
      </c>
      <c r="C461" t="s">
        <v>92</v>
      </c>
      <c r="D461" s="40">
        <v>1892</v>
      </c>
      <c r="F461">
        <v>404</v>
      </c>
      <c r="G461" s="41">
        <v>43321</v>
      </c>
      <c r="H461" t="str">
        <v>NY</v>
      </c>
      <c r="I461">
        <v>1159</v>
      </c>
    </row>
    <row r="462" spans="1:9" x14ac:dyDescent="0.25">
      <c r="A462">
        <v>952</v>
      </c>
      <c r="B462" s="5">
        <v>43426</v>
      </c>
      <c r="C462" t="s">
        <v>92</v>
      </c>
      <c r="D462" s="40">
        <v>1190</v>
      </c>
      <c r="F462">
        <v>779</v>
      </c>
      <c r="G462" s="41">
        <v>43393</v>
      </c>
      <c r="H462" t="str">
        <v>NY</v>
      </c>
      <c r="I462">
        <v>552</v>
      </c>
    </row>
    <row r="463" spans="1:9" x14ac:dyDescent="0.25">
      <c r="A463">
        <v>520</v>
      </c>
      <c r="B463" s="5">
        <v>43342</v>
      </c>
      <c r="C463" t="s">
        <v>92</v>
      </c>
      <c r="D463" s="40">
        <v>599</v>
      </c>
      <c r="F463">
        <v>368</v>
      </c>
      <c r="G463" s="41">
        <v>43313</v>
      </c>
      <c r="H463" t="str">
        <v>CA</v>
      </c>
      <c r="I463">
        <v>1460</v>
      </c>
    </row>
    <row r="464" spans="1:9" x14ac:dyDescent="0.25">
      <c r="A464">
        <v>590</v>
      </c>
      <c r="B464" s="5">
        <v>43355</v>
      </c>
      <c r="C464" t="s">
        <v>93</v>
      </c>
      <c r="D464" s="40">
        <v>1836</v>
      </c>
      <c r="F464">
        <v>852</v>
      </c>
      <c r="G464" s="41">
        <v>43410</v>
      </c>
      <c r="H464" t="str">
        <v>NY</v>
      </c>
      <c r="I464">
        <v>1505</v>
      </c>
    </row>
    <row r="465" spans="1:9" x14ac:dyDescent="0.25">
      <c r="A465">
        <v>12</v>
      </c>
      <c r="B465" s="5">
        <v>43254</v>
      </c>
      <c r="C465" t="s">
        <v>94</v>
      </c>
      <c r="D465" s="40">
        <v>797</v>
      </c>
      <c r="F465">
        <v>295</v>
      </c>
      <c r="G465" s="41">
        <v>43300</v>
      </c>
      <c r="H465" t="str">
        <v>TX</v>
      </c>
      <c r="I465">
        <v>1747</v>
      </c>
    </row>
    <row r="466" spans="1:9" x14ac:dyDescent="0.25">
      <c r="A466">
        <v>173</v>
      </c>
      <c r="B466" s="5">
        <v>43280</v>
      </c>
      <c r="C466" t="s">
        <v>93</v>
      </c>
      <c r="D466" s="40">
        <v>1609</v>
      </c>
      <c r="F466">
        <v>732</v>
      </c>
      <c r="G466" s="41">
        <v>43386</v>
      </c>
      <c r="H466" t="str">
        <v>NY</v>
      </c>
      <c r="I466">
        <v>723</v>
      </c>
    </row>
    <row r="467" spans="1:9" x14ac:dyDescent="0.25">
      <c r="A467">
        <v>920</v>
      </c>
      <c r="B467" s="5">
        <v>43420</v>
      </c>
      <c r="C467" t="s">
        <v>93</v>
      </c>
      <c r="D467" s="40">
        <v>839</v>
      </c>
      <c r="F467">
        <v>738</v>
      </c>
      <c r="G467" s="41">
        <v>43386</v>
      </c>
      <c r="H467" t="str">
        <v>NY</v>
      </c>
      <c r="I467">
        <v>1029</v>
      </c>
    </row>
    <row r="468" spans="1:9" x14ac:dyDescent="0.25">
      <c r="A468">
        <v>253</v>
      </c>
      <c r="B468" s="5">
        <v>43294</v>
      </c>
      <c r="C468" t="s">
        <v>92</v>
      </c>
      <c r="D468" s="40">
        <v>1049</v>
      </c>
      <c r="F468">
        <v>718</v>
      </c>
      <c r="G468" s="41">
        <v>43383</v>
      </c>
      <c r="H468" t="str">
        <v>CA</v>
      </c>
      <c r="I468">
        <v>1190</v>
      </c>
    </row>
    <row r="469" spans="1:9" x14ac:dyDescent="0.25">
      <c r="A469">
        <v>597</v>
      </c>
      <c r="B469" s="5">
        <v>43356</v>
      </c>
      <c r="C469" t="s">
        <v>92</v>
      </c>
      <c r="D469" s="40">
        <v>1733</v>
      </c>
      <c r="F469">
        <v>904</v>
      </c>
      <c r="G469" s="41">
        <v>43419</v>
      </c>
      <c r="H469" t="str">
        <v>TX</v>
      </c>
      <c r="I469">
        <v>1133</v>
      </c>
    </row>
    <row r="470" spans="1:9" x14ac:dyDescent="0.25">
      <c r="A470">
        <v>582</v>
      </c>
      <c r="B470" s="5">
        <v>43354</v>
      </c>
      <c r="C470" t="s">
        <v>93</v>
      </c>
      <c r="D470" s="40">
        <v>1694</v>
      </c>
      <c r="F470">
        <v>917</v>
      </c>
      <c r="G470" s="41">
        <v>43420</v>
      </c>
      <c r="H470" t="str">
        <v>NY</v>
      </c>
      <c r="I470">
        <v>815</v>
      </c>
    </row>
    <row r="471" spans="1:9" x14ac:dyDescent="0.25">
      <c r="A471">
        <v>384</v>
      </c>
      <c r="B471" s="5">
        <v>43316</v>
      </c>
      <c r="C471" t="s">
        <v>92</v>
      </c>
      <c r="D471" s="40">
        <v>1238</v>
      </c>
      <c r="F471">
        <v>401</v>
      </c>
      <c r="G471" s="41">
        <v>43320</v>
      </c>
      <c r="H471" t="str">
        <v>TX</v>
      </c>
      <c r="I471">
        <v>897</v>
      </c>
    </row>
    <row r="472" spans="1:9" x14ac:dyDescent="0.25">
      <c r="A472">
        <v>138</v>
      </c>
      <c r="B472" s="5">
        <v>43274</v>
      </c>
      <c r="C472" t="s">
        <v>92</v>
      </c>
      <c r="D472" s="40">
        <v>1539</v>
      </c>
      <c r="F472">
        <v>872</v>
      </c>
      <c r="G472" s="41">
        <v>43413</v>
      </c>
      <c r="H472" t="str">
        <v>CA</v>
      </c>
      <c r="I472">
        <v>1318</v>
      </c>
    </row>
    <row r="473" spans="1:9" x14ac:dyDescent="0.25">
      <c r="A473">
        <v>282</v>
      </c>
      <c r="B473" s="5">
        <v>43298</v>
      </c>
      <c r="C473" t="s">
        <v>92</v>
      </c>
      <c r="D473" s="40">
        <v>813</v>
      </c>
      <c r="F473">
        <v>925</v>
      </c>
      <c r="G473" s="41">
        <v>43422</v>
      </c>
      <c r="H473" t="str">
        <v>CA</v>
      </c>
      <c r="I473">
        <v>1031</v>
      </c>
    </row>
    <row r="474" spans="1:9" x14ac:dyDescent="0.25">
      <c r="A474">
        <v>814</v>
      </c>
      <c r="B474" s="5">
        <v>43401</v>
      </c>
      <c r="C474" t="s">
        <v>92</v>
      </c>
      <c r="D474" s="40">
        <v>1094</v>
      </c>
      <c r="F474">
        <v>558</v>
      </c>
      <c r="G474" s="41">
        <v>43348</v>
      </c>
      <c r="H474" t="str">
        <v>NY</v>
      </c>
      <c r="I474">
        <v>842</v>
      </c>
    </row>
    <row r="475" spans="1:9" x14ac:dyDescent="0.25">
      <c r="A475">
        <v>673</v>
      </c>
      <c r="B475" s="5">
        <v>43372</v>
      </c>
      <c r="C475" t="s">
        <v>94</v>
      </c>
      <c r="D475" s="40">
        <v>734</v>
      </c>
      <c r="F475">
        <v>371</v>
      </c>
      <c r="G475" s="41">
        <v>43313</v>
      </c>
      <c r="H475" t="str">
        <v>CA</v>
      </c>
      <c r="I475">
        <v>745</v>
      </c>
    </row>
    <row r="476" spans="1:9" x14ac:dyDescent="0.25">
      <c r="A476">
        <v>176</v>
      </c>
      <c r="B476" s="5">
        <v>43281</v>
      </c>
      <c r="C476" t="s">
        <v>92</v>
      </c>
      <c r="D476" s="40">
        <v>1282</v>
      </c>
      <c r="F476">
        <v>834</v>
      </c>
      <c r="G476" s="41">
        <v>43407</v>
      </c>
      <c r="H476" t="str">
        <v>CA</v>
      </c>
      <c r="I476">
        <v>1552</v>
      </c>
    </row>
    <row r="477" spans="1:9" x14ac:dyDescent="0.25">
      <c r="A477">
        <v>446</v>
      </c>
      <c r="B477" s="5">
        <v>43328</v>
      </c>
      <c r="C477" t="s">
        <v>94</v>
      </c>
      <c r="D477" s="40">
        <v>1489</v>
      </c>
      <c r="F477">
        <v>479</v>
      </c>
      <c r="G477" s="41">
        <v>43334</v>
      </c>
      <c r="H477" t="str">
        <v>CA</v>
      </c>
      <c r="I477">
        <v>1008</v>
      </c>
    </row>
    <row r="478" spans="1:9" x14ac:dyDescent="0.25">
      <c r="A478">
        <v>774</v>
      </c>
      <c r="B478" s="5">
        <v>43393</v>
      </c>
      <c r="C478" t="s">
        <v>93</v>
      </c>
      <c r="D478" s="40">
        <v>511</v>
      </c>
      <c r="F478">
        <v>939</v>
      </c>
      <c r="G478" s="41">
        <v>43423</v>
      </c>
      <c r="H478" t="str">
        <v>NY</v>
      </c>
      <c r="I478">
        <v>948</v>
      </c>
    </row>
    <row r="479" spans="1:9" x14ac:dyDescent="0.25">
      <c r="A479">
        <v>462</v>
      </c>
      <c r="B479" s="5">
        <v>43331</v>
      </c>
      <c r="C479" t="s">
        <v>93</v>
      </c>
      <c r="D479" s="40">
        <v>712</v>
      </c>
      <c r="F479">
        <v>471</v>
      </c>
      <c r="G479" s="41">
        <v>43333</v>
      </c>
      <c r="H479" t="str">
        <v>NY</v>
      </c>
      <c r="I479">
        <v>1372</v>
      </c>
    </row>
    <row r="480" spans="1:9" x14ac:dyDescent="0.25">
      <c r="A480">
        <v>836</v>
      </c>
      <c r="B480" s="5">
        <v>43407</v>
      </c>
      <c r="C480" t="s">
        <v>94</v>
      </c>
      <c r="D480" s="40">
        <v>1297</v>
      </c>
      <c r="F480">
        <v>664</v>
      </c>
      <c r="G480" s="41">
        <v>43369</v>
      </c>
      <c r="H480" t="str">
        <v>CA</v>
      </c>
      <c r="I480">
        <v>568</v>
      </c>
    </row>
    <row r="481" spans="1:9" x14ac:dyDescent="0.25">
      <c r="A481">
        <v>349</v>
      </c>
      <c r="B481" s="5">
        <v>43310</v>
      </c>
      <c r="C481" t="s">
        <v>92</v>
      </c>
      <c r="D481" s="40">
        <v>1640</v>
      </c>
      <c r="F481">
        <v>677</v>
      </c>
      <c r="G481" s="41">
        <v>43373</v>
      </c>
      <c r="H481" t="str">
        <v>NY</v>
      </c>
      <c r="I481">
        <v>1692</v>
      </c>
    </row>
    <row r="482" spans="1:9" x14ac:dyDescent="0.25">
      <c r="A482">
        <v>810</v>
      </c>
      <c r="B482" s="5">
        <v>43401</v>
      </c>
      <c r="C482" t="s">
        <v>92</v>
      </c>
      <c r="D482" s="40">
        <v>1352</v>
      </c>
      <c r="F482">
        <v>272</v>
      </c>
      <c r="G482" s="41">
        <v>43296</v>
      </c>
      <c r="H482" t="str">
        <v>NY</v>
      </c>
      <c r="I482">
        <v>1180</v>
      </c>
    </row>
    <row r="483" spans="1:9" x14ac:dyDescent="0.25">
      <c r="A483">
        <v>942</v>
      </c>
      <c r="B483" s="5">
        <v>43424</v>
      </c>
      <c r="C483" t="s">
        <v>92</v>
      </c>
      <c r="D483" s="40">
        <v>1428</v>
      </c>
      <c r="F483">
        <v>505</v>
      </c>
      <c r="G483" s="41">
        <v>43339</v>
      </c>
      <c r="H483" t="str">
        <v>CA</v>
      </c>
      <c r="I483">
        <v>1248</v>
      </c>
    </row>
    <row r="484" spans="1:9" x14ac:dyDescent="0.25">
      <c r="A484">
        <v>66</v>
      </c>
      <c r="B484" s="5">
        <v>43262</v>
      </c>
      <c r="C484" t="s">
        <v>94</v>
      </c>
      <c r="D484" s="40">
        <v>780</v>
      </c>
      <c r="F484">
        <v>870</v>
      </c>
      <c r="G484" s="41">
        <v>43413</v>
      </c>
      <c r="H484" t="str">
        <v>NY</v>
      </c>
      <c r="I484">
        <v>1216</v>
      </c>
    </row>
    <row r="485" spans="1:9" x14ac:dyDescent="0.25">
      <c r="A485">
        <v>118</v>
      </c>
      <c r="B485" s="5">
        <v>43270</v>
      </c>
      <c r="C485" t="s">
        <v>92</v>
      </c>
      <c r="D485" s="40">
        <v>1285</v>
      </c>
      <c r="F485">
        <v>960</v>
      </c>
      <c r="G485" s="41">
        <v>43428</v>
      </c>
      <c r="H485" t="str">
        <v>TX</v>
      </c>
      <c r="I485">
        <v>1937</v>
      </c>
    </row>
    <row r="486" spans="1:9" x14ac:dyDescent="0.25">
      <c r="A486">
        <v>120</v>
      </c>
      <c r="B486" s="5">
        <v>43271</v>
      </c>
      <c r="C486" t="s">
        <v>94</v>
      </c>
      <c r="D486" s="40">
        <v>1950</v>
      </c>
      <c r="F486">
        <v>951</v>
      </c>
      <c r="G486" s="41">
        <v>43426</v>
      </c>
      <c r="H486" t="str">
        <v>TX</v>
      </c>
      <c r="I486">
        <v>1856</v>
      </c>
    </row>
    <row r="487" spans="1:9" x14ac:dyDescent="0.25">
      <c r="A487">
        <v>65</v>
      </c>
      <c r="B487" s="5">
        <v>43261</v>
      </c>
      <c r="C487" t="s">
        <v>92</v>
      </c>
      <c r="D487" s="40">
        <v>1550</v>
      </c>
      <c r="F487">
        <v>337</v>
      </c>
      <c r="G487" s="41">
        <v>43307</v>
      </c>
      <c r="H487" t="str">
        <v>CA</v>
      </c>
      <c r="I487">
        <v>1658</v>
      </c>
    </row>
    <row r="488" spans="1:9" x14ac:dyDescent="0.25">
      <c r="A488">
        <v>538</v>
      </c>
      <c r="B488" s="5">
        <v>43345</v>
      </c>
      <c r="C488" t="s">
        <v>94</v>
      </c>
      <c r="D488" s="40">
        <v>1980</v>
      </c>
      <c r="F488">
        <v>883</v>
      </c>
      <c r="G488" s="41">
        <v>43415</v>
      </c>
      <c r="H488" t="str">
        <v>CA</v>
      </c>
      <c r="I488">
        <v>1328</v>
      </c>
    </row>
    <row r="489" spans="1:9" x14ac:dyDescent="0.25">
      <c r="A489">
        <v>408</v>
      </c>
      <c r="B489" s="5">
        <v>43322</v>
      </c>
      <c r="C489" t="s">
        <v>93</v>
      </c>
      <c r="D489" s="40">
        <v>517</v>
      </c>
      <c r="F489">
        <v>700</v>
      </c>
      <c r="G489" s="41">
        <v>43380</v>
      </c>
      <c r="H489" t="str">
        <v>NY</v>
      </c>
      <c r="I489">
        <v>847</v>
      </c>
    </row>
    <row r="490" spans="1:9" x14ac:dyDescent="0.25">
      <c r="A490">
        <v>426</v>
      </c>
      <c r="B490" s="5">
        <v>43325</v>
      </c>
      <c r="C490" t="s">
        <v>92</v>
      </c>
      <c r="D490" s="40">
        <v>1680</v>
      </c>
      <c r="F490">
        <v>589</v>
      </c>
      <c r="G490" s="41">
        <v>43355</v>
      </c>
      <c r="H490" t="str">
        <v>NY</v>
      </c>
      <c r="I490">
        <v>927</v>
      </c>
    </row>
    <row r="491" spans="1:9" x14ac:dyDescent="0.25">
      <c r="A491">
        <v>926</v>
      </c>
      <c r="B491" s="5">
        <v>43422</v>
      </c>
      <c r="C491" t="s">
        <v>92</v>
      </c>
      <c r="D491" s="40">
        <v>1281</v>
      </c>
      <c r="F491">
        <v>691</v>
      </c>
      <c r="G491" s="41">
        <v>43378</v>
      </c>
      <c r="H491" t="str">
        <v>CA</v>
      </c>
      <c r="I491">
        <v>634</v>
      </c>
    </row>
    <row r="492" spans="1:9" x14ac:dyDescent="0.25">
      <c r="A492">
        <v>895</v>
      </c>
      <c r="B492" s="5">
        <v>43416</v>
      </c>
      <c r="C492" t="s">
        <v>93</v>
      </c>
      <c r="D492" s="40">
        <v>1057</v>
      </c>
      <c r="F492">
        <v>687</v>
      </c>
      <c r="G492" s="41">
        <v>43377</v>
      </c>
      <c r="H492" t="str">
        <v>CA</v>
      </c>
      <c r="I492">
        <v>642</v>
      </c>
    </row>
    <row r="493" spans="1:9" x14ac:dyDescent="0.25">
      <c r="A493">
        <v>402</v>
      </c>
      <c r="B493" s="5">
        <v>43320</v>
      </c>
      <c r="C493" t="s">
        <v>94</v>
      </c>
      <c r="D493" s="40">
        <v>738</v>
      </c>
      <c r="F493">
        <v>644</v>
      </c>
      <c r="G493" s="41">
        <v>43366</v>
      </c>
      <c r="H493" t="str">
        <v>TX</v>
      </c>
      <c r="I493">
        <v>565</v>
      </c>
    </row>
    <row r="494" spans="1:9" x14ac:dyDescent="0.25">
      <c r="A494">
        <v>332</v>
      </c>
      <c r="B494" s="5">
        <v>43306</v>
      </c>
      <c r="C494" t="s">
        <v>93</v>
      </c>
      <c r="D494" s="40">
        <v>1881</v>
      </c>
      <c r="F494">
        <v>357</v>
      </c>
      <c r="G494" s="41">
        <v>43311</v>
      </c>
      <c r="H494" t="str">
        <v>TX</v>
      </c>
      <c r="I494">
        <v>903</v>
      </c>
    </row>
    <row r="495" spans="1:9" x14ac:dyDescent="0.25">
      <c r="A495">
        <v>548</v>
      </c>
      <c r="B495" s="5">
        <v>43347</v>
      </c>
      <c r="C495" t="s">
        <v>94</v>
      </c>
      <c r="D495" s="40">
        <v>1953</v>
      </c>
      <c r="F495">
        <v>385</v>
      </c>
      <c r="G495" s="41">
        <v>43316</v>
      </c>
      <c r="H495" t="str">
        <v>CA</v>
      </c>
      <c r="I495">
        <v>635</v>
      </c>
    </row>
    <row r="496" spans="1:9" x14ac:dyDescent="0.25">
      <c r="A496">
        <v>655</v>
      </c>
      <c r="B496" s="5">
        <v>43368</v>
      </c>
      <c r="C496" t="s">
        <v>94</v>
      </c>
      <c r="D496" s="40">
        <v>1378</v>
      </c>
      <c r="F496">
        <v>530</v>
      </c>
      <c r="G496" s="41">
        <v>43344</v>
      </c>
      <c r="H496" t="str">
        <v>CA</v>
      </c>
      <c r="I496">
        <v>979</v>
      </c>
    </row>
    <row r="497" spans="1:9" x14ac:dyDescent="0.25">
      <c r="A497">
        <v>389</v>
      </c>
      <c r="B497" s="5">
        <v>43317</v>
      </c>
      <c r="C497" t="s">
        <v>93</v>
      </c>
      <c r="D497" s="40">
        <v>1522</v>
      </c>
      <c r="F497">
        <v>199</v>
      </c>
      <c r="G497" s="41">
        <v>43284</v>
      </c>
      <c r="H497" t="str">
        <v>CA</v>
      </c>
      <c r="I497">
        <v>1994</v>
      </c>
    </row>
    <row r="498" spans="1:9" x14ac:dyDescent="0.25">
      <c r="A498">
        <v>399</v>
      </c>
      <c r="B498" s="5">
        <v>43320</v>
      </c>
      <c r="C498" t="s">
        <v>94</v>
      </c>
      <c r="D498" s="40">
        <v>1733</v>
      </c>
      <c r="F498">
        <v>964</v>
      </c>
      <c r="G498" s="41">
        <v>43428</v>
      </c>
      <c r="H498" t="str">
        <v>NY</v>
      </c>
      <c r="I498">
        <v>1286</v>
      </c>
    </row>
    <row r="499" spans="1:9" x14ac:dyDescent="0.25">
      <c r="A499">
        <v>967</v>
      </c>
      <c r="B499" s="5">
        <v>43429</v>
      </c>
      <c r="C499" t="s">
        <v>92</v>
      </c>
      <c r="D499" s="40">
        <v>1379</v>
      </c>
      <c r="F499">
        <v>984</v>
      </c>
      <c r="G499" s="41">
        <v>43432</v>
      </c>
      <c r="H499" t="str">
        <v>NY</v>
      </c>
      <c r="I499">
        <v>1999</v>
      </c>
    </row>
    <row r="500" spans="1:9" x14ac:dyDescent="0.25">
      <c r="A500">
        <v>902</v>
      </c>
      <c r="B500" s="5">
        <v>43418</v>
      </c>
      <c r="C500" t="s">
        <v>94</v>
      </c>
      <c r="D500" s="40">
        <v>1041</v>
      </c>
      <c r="F500">
        <v>222</v>
      </c>
      <c r="G500" s="41">
        <v>43288</v>
      </c>
      <c r="H500" t="str">
        <v>CA</v>
      </c>
      <c r="I500">
        <v>1167</v>
      </c>
    </row>
    <row r="501" spans="1:9" x14ac:dyDescent="0.25">
      <c r="A501">
        <v>565</v>
      </c>
      <c r="B501" s="5">
        <v>43349</v>
      </c>
      <c r="C501" t="s">
        <v>93</v>
      </c>
      <c r="D501" s="40">
        <v>1201</v>
      </c>
      <c r="F501">
        <v>363</v>
      </c>
      <c r="G501" s="41">
        <v>43312</v>
      </c>
      <c r="H501" t="str">
        <v>NY</v>
      </c>
      <c r="I501">
        <v>1577</v>
      </c>
    </row>
    <row r="502" spans="1:9" x14ac:dyDescent="0.25">
      <c r="A502">
        <v>303</v>
      </c>
      <c r="B502" s="5">
        <v>43301</v>
      </c>
      <c r="C502" t="s">
        <v>93</v>
      </c>
      <c r="D502" s="40">
        <v>991</v>
      </c>
      <c r="F502">
        <v>889</v>
      </c>
      <c r="G502" s="41">
        <v>43416</v>
      </c>
      <c r="H502" t="str">
        <v>CA</v>
      </c>
      <c r="I502">
        <v>883</v>
      </c>
    </row>
    <row r="503" spans="1:9" x14ac:dyDescent="0.25">
      <c r="A503">
        <v>537</v>
      </c>
      <c r="B503" s="5">
        <v>43345</v>
      </c>
      <c r="C503" t="s">
        <v>92</v>
      </c>
      <c r="D503" s="40">
        <v>1969</v>
      </c>
      <c r="F503">
        <v>996</v>
      </c>
      <c r="G503" s="41">
        <v>43434</v>
      </c>
      <c r="H503" t="str">
        <v>CA</v>
      </c>
      <c r="I503">
        <v>1620</v>
      </c>
    </row>
    <row r="504" spans="1:9" x14ac:dyDescent="0.25">
      <c r="A504">
        <v>707</v>
      </c>
      <c r="B504" s="5">
        <v>43381</v>
      </c>
      <c r="C504" t="s">
        <v>92</v>
      </c>
      <c r="D504" s="40">
        <v>1098</v>
      </c>
      <c r="F504">
        <v>508</v>
      </c>
      <c r="G504" s="41">
        <v>43339</v>
      </c>
      <c r="H504" t="str">
        <v>TX</v>
      </c>
      <c r="I504">
        <v>1758</v>
      </c>
    </row>
    <row r="505" spans="1:9" x14ac:dyDescent="0.25">
      <c r="A505">
        <v>185</v>
      </c>
      <c r="B505" s="5">
        <v>43283</v>
      </c>
      <c r="C505" t="s">
        <v>93</v>
      </c>
      <c r="D505" s="40">
        <v>1745</v>
      </c>
      <c r="F505">
        <v>525</v>
      </c>
      <c r="G505" s="41">
        <v>43344</v>
      </c>
      <c r="H505" t="str">
        <v>TX</v>
      </c>
      <c r="I505">
        <v>954</v>
      </c>
    </row>
    <row r="506" spans="1:9" x14ac:dyDescent="0.25">
      <c r="A506">
        <v>281</v>
      </c>
      <c r="B506" s="5">
        <v>43298</v>
      </c>
      <c r="C506" t="s">
        <v>93</v>
      </c>
      <c r="D506" s="40">
        <v>820</v>
      </c>
      <c r="F506">
        <v>499</v>
      </c>
      <c r="G506" s="41">
        <v>43338</v>
      </c>
      <c r="H506" t="str">
        <v>NY</v>
      </c>
      <c r="I506">
        <v>1785</v>
      </c>
    </row>
    <row r="507" spans="1:9" x14ac:dyDescent="0.25">
      <c r="A507">
        <v>449</v>
      </c>
      <c r="B507" s="5">
        <v>43329</v>
      </c>
      <c r="C507" t="s">
        <v>94</v>
      </c>
      <c r="D507" s="40">
        <v>687</v>
      </c>
      <c r="F507">
        <v>542</v>
      </c>
      <c r="G507" s="41">
        <v>43346</v>
      </c>
      <c r="H507" t="str">
        <v>TX</v>
      </c>
      <c r="I507">
        <v>823</v>
      </c>
    </row>
    <row r="508" spans="1:9" x14ac:dyDescent="0.25">
      <c r="A508">
        <v>819</v>
      </c>
      <c r="B508" s="5">
        <v>43402</v>
      </c>
      <c r="C508" t="s">
        <v>92</v>
      </c>
      <c r="D508" s="40">
        <v>583</v>
      </c>
      <c r="F508">
        <v>720</v>
      </c>
      <c r="G508" s="41">
        <v>43384</v>
      </c>
      <c r="H508" t="str">
        <v>CA</v>
      </c>
      <c r="I508">
        <v>1717</v>
      </c>
    </row>
    <row r="509" spans="1:9" x14ac:dyDescent="0.25">
      <c r="A509">
        <v>682</v>
      </c>
      <c r="B509" s="5">
        <v>43375</v>
      </c>
      <c r="C509" t="s">
        <v>92</v>
      </c>
      <c r="D509" s="40">
        <v>1477</v>
      </c>
      <c r="F509">
        <v>910</v>
      </c>
      <c r="G509" s="41">
        <v>43419</v>
      </c>
      <c r="H509" t="str">
        <v>CA</v>
      </c>
      <c r="I509">
        <v>1214</v>
      </c>
    </row>
    <row r="510" spans="1:9" x14ac:dyDescent="0.25">
      <c r="A510">
        <v>809</v>
      </c>
      <c r="B510" s="5">
        <v>43401</v>
      </c>
      <c r="C510" t="s">
        <v>93</v>
      </c>
      <c r="D510" s="40">
        <v>1990</v>
      </c>
      <c r="F510">
        <v>443</v>
      </c>
      <c r="G510" s="41">
        <v>43328</v>
      </c>
      <c r="H510" t="str">
        <v>CA</v>
      </c>
      <c r="I510">
        <v>727</v>
      </c>
    </row>
    <row r="511" spans="1:9" x14ac:dyDescent="0.25">
      <c r="A511">
        <v>269</v>
      </c>
      <c r="B511" s="5">
        <v>43296</v>
      </c>
      <c r="C511" t="s">
        <v>93</v>
      </c>
      <c r="D511" s="40">
        <v>1136</v>
      </c>
      <c r="F511">
        <v>429</v>
      </c>
      <c r="G511" s="41">
        <v>43325</v>
      </c>
      <c r="H511" t="str">
        <v>CA</v>
      </c>
      <c r="I511">
        <v>1843</v>
      </c>
    </row>
    <row r="512" spans="1:9" x14ac:dyDescent="0.25">
      <c r="A512">
        <v>672</v>
      </c>
      <c r="B512" s="5">
        <v>43372</v>
      </c>
      <c r="C512" t="s">
        <v>93</v>
      </c>
      <c r="D512" s="40">
        <v>1604</v>
      </c>
      <c r="F512">
        <v>304</v>
      </c>
      <c r="G512" s="41">
        <v>43301</v>
      </c>
      <c r="H512" t="str">
        <v>CA</v>
      </c>
      <c r="I512">
        <v>1200</v>
      </c>
    </row>
    <row r="513" spans="1:9" x14ac:dyDescent="0.25">
      <c r="A513">
        <v>612</v>
      </c>
      <c r="B513" s="5">
        <v>43360</v>
      </c>
      <c r="C513" t="s">
        <v>92</v>
      </c>
      <c r="D513" s="40">
        <v>801</v>
      </c>
      <c r="F513">
        <v>735</v>
      </c>
      <c r="G513" s="41">
        <v>43386</v>
      </c>
      <c r="H513" t="str">
        <v>TX</v>
      </c>
      <c r="I513">
        <v>765</v>
      </c>
    </row>
    <row r="514" spans="1:9" x14ac:dyDescent="0.25">
      <c r="A514">
        <v>762</v>
      </c>
      <c r="B514" s="5">
        <v>43390</v>
      </c>
      <c r="C514" t="s">
        <v>92</v>
      </c>
      <c r="D514" s="40">
        <v>1722</v>
      </c>
      <c r="F514">
        <v>247</v>
      </c>
      <c r="G514" s="41">
        <v>43292</v>
      </c>
      <c r="H514" t="str">
        <v>NY</v>
      </c>
      <c r="I514">
        <v>1203</v>
      </c>
    </row>
    <row r="515" spans="1:9" x14ac:dyDescent="0.25">
      <c r="A515">
        <v>300</v>
      </c>
      <c r="B515" s="5">
        <v>43301</v>
      </c>
      <c r="C515" t="s">
        <v>92</v>
      </c>
      <c r="D515" s="40">
        <v>678</v>
      </c>
      <c r="F515">
        <v>968</v>
      </c>
      <c r="G515" s="41">
        <v>43429</v>
      </c>
      <c r="H515" t="str">
        <v>CA</v>
      </c>
      <c r="I515">
        <v>540</v>
      </c>
    </row>
    <row r="516" spans="1:9" x14ac:dyDescent="0.25">
      <c r="A516">
        <v>204</v>
      </c>
      <c r="B516" s="5">
        <v>43286</v>
      </c>
      <c r="C516" t="s">
        <v>93</v>
      </c>
      <c r="D516" s="40">
        <v>1410</v>
      </c>
      <c r="F516">
        <v>353</v>
      </c>
      <c r="G516" s="41">
        <v>43311</v>
      </c>
      <c r="H516" t="str">
        <v>CA</v>
      </c>
      <c r="I516">
        <v>809</v>
      </c>
    </row>
    <row r="517" spans="1:9" x14ac:dyDescent="0.25">
      <c r="A517">
        <v>480</v>
      </c>
      <c r="B517" s="5">
        <v>43334</v>
      </c>
      <c r="C517" t="s">
        <v>93</v>
      </c>
      <c r="D517" s="40">
        <v>1019</v>
      </c>
      <c r="F517">
        <v>770</v>
      </c>
      <c r="G517" s="41">
        <v>43392</v>
      </c>
      <c r="H517" t="str">
        <v>TX</v>
      </c>
      <c r="I517">
        <v>830</v>
      </c>
    </row>
    <row r="518" spans="1:9" x14ac:dyDescent="0.25">
      <c r="A518">
        <v>514</v>
      </c>
      <c r="B518" s="5">
        <v>43340</v>
      </c>
      <c r="C518" t="s">
        <v>92</v>
      </c>
      <c r="D518" s="40">
        <v>809</v>
      </c>
      <c r="F518">
        <v>507</v>
      </c>
      <c r="G518" s="41">
        <v>43339</v>
      </c>
      <c r="H518" t="str">
        <v>NY</v>
      </c>
      <c r="I518">
        <v>1031</v>
      </c>
    </row>
    <row r="519" spans="1:9" x14ac:dyDescent="0.25">
      <c r="A519">
        <v>510</v>
      </c>
      <c r="B519" s="5">
        <v>43339</v>
      </c>
      <c r="C519" t="s">
        <v>93</v>
      </c>
      <c r="D519" s="40">
        <v>1648</v>
      </c>
      <c r="F519">
        <v>529</v>
      </c>
      <c r="G519" s="41">
        <v>43344</v>
      </c>
      <c r="H519" t="str">
        <v>CA</v>
      </c>
      <c r="I519">
        <v>1990</v>
      </c>
    </row>
    <row r="520" spans="1:9" x14ac:dyDescent="0.25">
      <c r="A520">
        <v>822</v>
      </c>
      <c r="B520" s="5">
        <v>43403</v>
      </c>
      <c r="C520" t="s">
        <v>93</v>
      </c>
      <c r="D520" s="40">
        <v>743</v>
      </c>
      <c r="F520">
        <v>245</v>
      </c>
      <c r="G520" s="41">
        <v>43292</v>
      </c>
      <c r="H520" t="str">
        <v>NY</v>
      </c>
      <c r="I520">
        <v>671</v>
      </c>
    </row>
    <row r="521" spans="1:9" x14ac:dyDescent="0.25">
      <c r="A521">
        <v>195</v>
      </c>
      <c r="B521" s="5">
        <v>43283</v>
      </c>
      <c r="C521" t="s">
        <v>92</v>
      </c>
      <c r="D521" s="40">
        <v>1421</v>
      </c>
      <c r="F521">
        <v>374</v>
      </c>
      <c r="G521" s="41">
        <v>43314</v>
      </c>
      <c r="H521" t="str">
        <v>CA</v>
      </c>
      <c r="I521">
        <v>1022</v>
      </c>
    </row>
    <row r="522" spans="1:9" x14ac:dyDescent="0.25">
      <c r="A522">
        <v>273</v>
      </c>
      <c r="B522" s="5">
        <v>43296</v>
      </c>
      <c r="C522" t="s">
        <v>92</v>
      </c>
      <c r="D522" s="40">
        <v>1437</v>
      </c>
      <c r="F522">
        <v>346</v>
      </c>
      <c r="G522" s="41">
        <v>43310</v>
      </c>
      <c r="H522" t="str">
        <v>NY</v>
      </c>
      <c r="I522">
        <v>1701</v>
      </c>
    </row>
    <row r="523" spans="1:9" x14ac:dyDescent="0.25">
      <c r="A523">
        <v>666</v>
      </c>
      <c r="B523" s="5">
        <v>43369</v>
      </c>
      <c r="C523" t="s">
        <v>94</v>
      </c>
      <c r="D523" s="40">
        <v>728</v>
      </c>
      <c r="F523">
        <v>487</v>
      </c>
      <c r="G523" s="41">
        <v>43335</v>
      </c>
      <c r="H523" t="str">
        <v>TX</v>
      </c>
      <c r="I523">
        <v>700</v>
      </c>
    </row>
    <row r="524" spans="1:9" x14ac:dyDescent="0.25">
      <c r="A524">
        <v>990</v>
      </c>
      <c r="B524" s="5">
        <v>43433</v>
      </c>
      <c r="C524" t="s">
        <v>94</v>
      </c>
      <c r="D524" s="40">
        <v>1071</v>
      </c>
      <c r="F524">
        <v>413</v>
      </c>
      <c r="G524" s="41">
        <v>43323</v>
      </c>
      <c r="H524" t="str">
        <v>CA</v>
      </c>
      <c r="I524">
        <v>1130</v>
      </c>
    </row>
    <row r="525" spans="1:9" x14ac:dyDescent="0.25">
      <c r="A525">
        <v>972</v>
      </c>
      <c r="B525" s="5">
        <v>43431</v>
      </c>
      <c r="C525" t="s">
        <v>93</v>
      </c>
      <c r="D525" s="40">
        <v>1816</v>
      </c>
      <c r="F525">
        <v>258</v>
      </c>
      <c r="G525" s="41">
        <v>43294</v>
      </c>
      <c r="H525" t="str">
        <v>TX</v>
      </c>
      <c r="I525">
        <v>1720</v>
      </c>
    </row>
    <row r="526" spans="1:9" x14ac:dyDescent="0.25">
      <c r="A526">
        <v>706</v>
      </c>
      <c r="B526" s="5">
        <v>43381</v>
      </c>
      <c r="C526" t="s">
        <v>94</v>
      </c>
      <c r="D526" s="40">
        <v>687</v>
      </c>
      <c r="F526">
        <v>201</v>
      </c>
      <c r="G526" s="41">
        <v>43285</v>
      </c>
      <c r="H526" t="str">
        <v>TX</v>
      </c>
      <c r="I526">
        <v>1840</v>
      </c>
    </row>
    <row r="527" spans="1:9" x14ac:dyDescent="0.25">
      <c r="A527">
        <v>768</v>
      </c>
      <c r="B527" s="5">
        <v>43392</v>
      </c>
      <c r="C527" t="s">
        <v>94</v>
      </c>
      <c r="D527" s="40">
        <v>1115</v>
      </c>
      <c r="F527">
        <v>733</v>
      </c>
      <c r="G527" s="41">
        <v>43386</v>
      </c>
      <c r="H527" t="str">
        <v>TX</v>
      </c>
      <c r="I527">
        <v>956</v>
      </c>
    </row>
    <row r="528" spans="1:9" x14ac:dyDescent="0.25">
      <c r="A528">
        <v>306</v>
      </c>
      <c r="B528" s="5">
        <v>43302</v>
      </c>
      <c r="C528" t="s">
        <v>93</v>
      </c>
      <c r="D528" s="40">
        <v>1804</v>
      </c>
      <c r="F528">
        <v>551</v>
      </c>
      <c r="G528" s="41">
        <v>43347</v>
      </c>
      <c r="H528" t="str">
        <v>TX</v>
      </c>
      <c r="I528">
        <v>1945</v>
      </c>
    </row>
    <row r="529" spans="1:9" x14ac:dyDescent="0.25">
      <c r="A529">
        <v>316</v>
      </c>
      <c r="B529" s="5">
        <v>43304</v>
      </c>
      <c r="C529" t="s">
        <v>93</v>
      </c>
      <c r="D529" s="40">
        <v>1391</v>
      </c>
      <c r="F529">
        <v>456</v>
      </c>
      <c r="G529" s="41">
        <v>43330</v>
      </c>
      <c r="H529" t="str">
        <v>TX</v>
      </c>
      <c r="I529">
        <v>537</v>
      </c>
    </row>
    <row r="530" spans="1:9" x14ac:dyDescent="0.25">
      <c r="A530">
        <v>271</v>
      </c>
      <c r="B530" s="5">
        <v>43296</v>
      </c>
      <c r="C530" t="s">
        <v>92</v>
      </c>
      <c r="D530" s="40">
        <v>568</v>
      </c>
      <c r="F530">
        <v>441</v>
      </c>
      <c r="G530" s="41">
        <v>43328</v>
      </c>
      <c r="H530" t="str">
        <v>TX</v>
      </c>
      <c r="I530">
        <v>700</v>
      </c>
    </row>
    <row r="531" spans="1:9" x14ac:dyDescent="0.25">
      <c r="A531">
        <v>111</v>
      </c>
      <c r="B531" s="5">
        <v>43269</v>
      </c>
      <c r="C531" t="s">
        <v>94</v>
      </c>
      <c r="D531" s="40">
        <v>1803</v>
      </c>
      <c r="F531">
        <v>313</v>
      </c>
      <c r="G531" s="41">
        <v>43303</v>
      </c>
      <c r="H531" t="str">
        <v>NY</v>
      </c>
      <c r="I531">
        <v>1373</v>
      </c>
    </row>
    <row r="532" spans="1:9" x14ac:dyDescent="0.25">
      <c r="A532">
        <v>279</v>
      </c>
      <c r="B532" s="5">
        <v>43297</v>
      </c>
      <c r="C532" t="s">
        <v>94</v>
      </c>
      <c r="D532" s="40">
        <v>848</v>
      </c>
      <c r="F532">
        <v>938</v>
      </c>
      <c r="G532" s="41">
        <v>43423</v>
      </c>
      <c r="H532" t="str">
        <v>NY</v>
      </c>
      <c r="I532">
        <v>1924</v>
      </c>
    </row>
    <row r="533" spans="1:9" x14ac:dyDescent="0.25">
      <c r="A533">
        <v>905</v>
      </c>
      <c r="B533" s="5">
        <v>43419</v>
      </c>
      <c r="C533" t="s">
        <v>92</v>
      </c>
      <c r="D533" s="40">
        <v>1358</v>
      </c>
      <c r="F533">
        <v>412</v>
      </c>
      <c r="G533" s="41">
        <v>43322</v>
      </c>
      <c r="H533" t="str">
        <v>NY</v>
      </c>
      <c r="I533">
        <v>861</v>
      </c>
    </row>
    <row r="534" spans="1:9" x14ac:dyDescent="0.25">
      <c r="A534">
        <v>853</v>
      </c>
      <c r="B534" s="5">
        <v>43410</v>
      </c>
      <c r="C534" t="s">
        <v>92</v>
      </c>
      <c r="D534" s="40">
        <v>873</v>
      </c>
      <c r="F534">
        <v>436</v>
      </c>
      <c r="G534" s="41">
        <v>43327</v>
      </c>
      <c r="H534" t="str">
        <v>CA</v>
      </c>
      <c r="I534">
        <v>1705</v>
      </c>
    </row>
    <row r="535" spans="1:9" x14ac:dyDescent="0.25">
      <c r="A535">
        <v>694</v>
      </c>
      <c r="B535" s="5">
        <v>43378</v>
      </c>
      <c r="C535" t="s">
        <v>94</v>
      </c>
      <c r="D535" s="40">
        <v>1245</v>
      </c>
      <c r="F535">
        <v>364</v>
      </c>
      <c r="G535" s="41">
        <v>43313</v>
      </c>
      <c r="H535" t="str">
        <v>NY</v>
      </c>
      <c r="I535">
        <v>1624</v>
      </c>
    </row>
    <row r="536" spans="1:9" x14ac:dyDescent="0.25">
      <c r="A536">
        <v>658</v>
      </c>
      <c r="B536" s="5">
        <v>43368</v>
      </c>
      <c r="C536" t="s">
        <v>93</v>
      </c>
      <c r="D536" s="40">
        <v>916</v>
      </c>
      <c r="F536">
        <v>602</v>
      </c>
      <c r="G536" s="41">
        <v>43356</v>
      </c>
      <c r="H536" t="str">
        <v>CA</v>
      </c>
      <c r="I536">
        <v>591</v>
      </c>
    </row>
    <row r="537" spans="1:9" x14ac:dyDescent="0.25">
      <c r="A537">
        <v>501</v>
      </c>
      <c r="B537" s="5">
        <v>43338</v>
      </c>
      <c r="C537" t="s">
        <v>94</v>
      </c>
      <c r="D537" s="40">
        <v>1761</v>
      </c>
      <c r="F537">
        <v>511</v>
      </c>
      <c r="G537" s="41">
        <v>43339</v>
      </c>
      <c r="H537" t="str">
        <v>NY</v>
      </c>
      <c r="I537">
        <v>876</v>
      </c>
    </row>
    <row r="538" spans="1:9" x14ac:dyDescent="0.25">
      <c r="A538">
        <v>431</v>
      </c>
      <c r="B538" s="5">
        <v>43326</v>
      </c>
      <c r="C538" t="s">
        <v>93</v>
      </c>
      <c r="D538" s="40">
        <v>1021</v>
      </c>
      <c r="F538">
        <v>945</v>
      </c>
      <c r="G538" s="41">
        <v>43425</v>
      </c>
      <c r="H538" t="str">
        <v>NY</v>
      </c>
      <c r="I538">
        <v>966</v>
      </c>
    </row>
    <row r="539" spans="1:9" x14ac:dyDescent="0.25">
      <c r="A539">
        <v>465</v>
      </c>
      <c r="B539" s="5">
        <v>43332</v>
      </c>
      <c r="C539" t="s">
        <v>92</v>
      </c>
      <c r="D539" s="40">
        <v>1529</v>
      </c>
      <c r="F539">
        <v>928</v>
      </c>
      <c r="G539" s="41">
        <v>43422</v>
      </c>
      <c r="H539" t="str">
        <v>CA</v>
      </c>
      <c r="I539">
        <v>1917</v>
      </c>
    </row>
    <row r="540" spans="1:9" x14ac:dyDescent="0.25">
      <c r="A540">
        <v>846</v>
      </c>
      <c r="B540" s="5">
        <v>43409</v>
      </c>
      <c r="C540" t="s">
        <v>92</v>
      </c>
      <c r="D540" s="40">
        <v>584</v>
      </c>
      <c r="F540">
        <v>988</v>
      </c>
      <c r="G540" s="41">
        <v>43433</v>
      </c>
      <c r="H540" t="str">
        <v>CA</v>
      </c>
      <c r="I540">
        <v>737</v>
      </c>
    </row>
    <row r="541" spans="1:9" x14ac:dyDescent="0.25">
      <c r="A541">
        <v>50</v>
      </c>
      <c r="B541" s="5">
        <v>43260</v>
      </c>
      <c r="C541" t="s">
        <v>92</v>
      </c>
      <c r="D541" s="40">
        <v>1198</v>
      </c>
      <c r="F541">
        <v>350</v>
      </c>
      <c r="G541" s="41">
        <v>43310</v>
      </c>
      <c r="H541" t="str">
        <v>NY</v>
      </c>
      <c r="I541">
        <v>757</v>
      </c>
    </row>
    <row r="542" spans="1:9" x14ac:dyDescent="0.25">
      <c r="A542">
        <v>758</v>
      </c>
      <c r="B542" s="5">
        <v>43389</v>
      </c>
      <c r="C542" t="s">
        <v>94</v>
      </c>
      <c r="D542" s="40">
        <v>1736</v>
      </c>
      <c r="F542">
        <v>624</v>
      </c>
      <c r="G542" s="41">
        <v>43364</v>
      </c>
      <c r="H542" t="str">
        <v>CA</v>
      </c>
      <c r="I542">
        <v>667</v>
      </c>
    </row>
    <row r="543" spans="1:9" x14ac:dyDescent="0.25">
      <c r="A543">
        <v>16</v>
      </c>
      <c r="B543" s="5">
        <v>43254</v>
      </c>
      <c r="C543" t="s">
        <v>94</v>
      </c>
      <c r="D543" s="40">
        <v>988</v>
      </c>
      <c r="F543">
        <v>724</v>
      </c>
      <c r="G543" s="41">
        <v>43385</v>
      </c>
      <c r="H543" t="str">
        <v>TX</v>
      </c>
      <c r="I543">
        <v>1919</v>
      </c>
    </row>
    <row r="544" spans="1:9" x14ac:dyDescent="0.25">
      <c r="A544">
        <v>894</v>
      </c>
      <c r="B544" s="5">
        <v>43416</v>
      </c>
      <c r="C544" t="s">
        <v>93</v>
      </c>
      <c r="D544" s="40">
        <v>1139</v>
      </c>
      <c r="F544">
        <v>947</v>
      </c>
      <c r="G544" s="41">
        <v>43425</v>
      </c>
      <c r="H544" t="str">
        <v>TX</v>
      </c>
      <c r="I544">
        <v>1602</v>
      </c>
    </row>
    <row r="545" spans="1:9" x14ac:dyDescent="0.25">
      <c r="A545">
        <v>47</v>
      </c>
      <c r="B545" s="5">
        <v>43258</v>
      </c>
      <c r="C545" t="s">
        <v>92</v>
      </c>
      <c r="D545" s="40">
        <v>1979</v>
      </c>
      <c r="F545">
        <v>553</v>
      </c>
      <c r="G545" s="41">
        <v>43348</v>
      </c>
      <c r="H545" t="str">
        <v>TX</v>
      </c>
      <c r="I545">
        <v>1687</v>
      </c>
    </row>
    <row r="546" spans="1:9" x14ac:dyDescent="0.25">
      <c r="A546">
        <v>86</v>
      </c>
      <c r="B546" s="5">
        <v>43266</v>
      </c>
      <c r="C546" t="s">
        <v>92</v>
      </c>
      <c r="D546" s="40">
        <v>1880</v>
      </c>
      <c r="F546">
        <v>579</v>
      </c>
      <c r="G546" s="41">
        <v>43352</v>
      </c>
      <c r="H546" t="str">
        <v>TX</v>
      </c>
      <c r="I546">
        <v>1263</v>
      </c>
    </row>
    <row r="547" spans="1:9" x14ac:dyDescent="0.25">
      <c r="A547">
        <v>378</v>
      </c>
      <c r="B547" s="5">
        <v>43315</v>
      </c>
      <c r="C547" t="s">
        <v>94</v>
      </c>
      <c r="D547" s="40">
        <v>1731</v>
      </c>
      <c r="F547">
        <v>847</v>
      </c>
      <c r="G547" s="41">
        <v>43409</v>
      </c>
      <c r="H547" t="str">
        <v>TX</v>
      </c>
      <c r="I547">
        <v>1853</v>
      </c>
    </row>
    <row r="548" spans="1:9" x14ac:dyDescent="0.25">
      <c r="A548">
        <v>535</v>
      </c>
      <c r="B548" s="5">
        <v>43345</v>
      </c>
      <c r="C548" t="s">
        <v>94</v>
      </c>
      <c r="D548" s="40">
        <v>555</v>
      </c>
      <c r="F548">
        <v>213</v>
      </c>
      <c r="G548" s="41">
        <v>43287</v>
      </c>
      <c r="H548" t="str">
        <v>TX</v>
      </c>
      <c r="I548">
        <v>1776</v>
      </c>
    </row>
    <row r="549" spans="1:9" x14ac:dyDescent="0.25">
      <c r="A549">
        <v>255</v>
      </c>
      <c r="B549" s="5">
        <v>43294</v>
      </c>
      <c r="C549" t="s">
        <v>93</v>
      </c>
      <c r="D549" s="40">
        <v>1243</v>
      </c>
      <c r="F549">
        <v>965</v>
      </c>
      <c r="G549" s="41">
        <v>43428</v>
      </c>
      <c r="H549" t="str">
        <v>TX</v>
      </c>
      <c r="I549">
        <v>1170</v>
      </c>
    </row>
    <row r="550" spans="1:9" x14ac:dyDescent="0.25">
      <c r="A550">
        <v>614</v>
      </c>
      <c r="B550" s="5">
        <v>43360</v>
      </c>
      <c r="C550" t="s">
        <v>93</v>
      </c>
      <c r="D550" s="40">
        <v>608</v>
      </c>
      <c r="F550">
        <v>256</v>
      </c>
      <c r="G550" s="41">
        <v>43294</v>
      </c>
      <c r="H550" t="str">
        <v>TX</v>
      </c>
      <c r="I550">
        <v>599</v>
      </c>
    </row>
    <row r="551" spans="1:9" x14ac:dyDescent="0.25">
      <c r="A551">
        <v>283</v>
      </c>
      <c r="B551" s="5">
        <v>43298</v>
      </c>
      <c r="C551" t="s">
        <v>94</v>
      </c>
      <c r="D551" s="40">
        <v>1936</v>
      </c>
      <c r="F551">
        <v>516</v>
      </c>
      <c r="G551" s="41">
        <v>43341</v>
      </c>
      <c r="H551" t="str">
        <v>NY</v>
      </c>
      <c r="I551">
        <v>895</v>
      </c>
    </row>
    <row r="552" spans="1:9" x14ac:dyDescent="0.25">
      <c r="A552">
        <v>394</v>
      </c>
      <c r="B552" s="5">
        <v>43318</v>
      </c>
      <c r="C552" t="s">
        <v>93</v>
      </c>
      <c r="D552" s="40">
        <v>1547</v>
      </c>
      <c r="F552">
        <v>793</v>
      </c>
      <c r="G552" s="41">
        <v>43396</v>
      </c>
      <c r="H552" t="str">
        <v>CA</v>
      </c>
      <c r="I552">
        <v>1999</v>
      </c>
    </row>
    <row r="553" spans="1:9" x14ac:dyDescent="0.25">
      <c r="A553">
        <v>53</v>
      </c>
      <c r="B553" s="5">
        <v>43260</v>
      </c>
      <c r="C553" t="s">
        <v>94</v>
      </c>
      <c r="D553" s="40">
        <v>677</v>
      </c>
      <c r="F553">
        <v>189</v>
      </c>
      <c r="G553" s="41">
        <v>43283</v>
      </c>
      <c r="H553" t="str">
        <v>NY</v>
      </c>
      <c r="I553">
        <v>1158</v>
      </c>
    </row>
    <row r="554" spans="1:9" x14ac:dyDescent="0.25">
      <c r="A554">
        <v>517</v>
      </c>
      <c r="B554" s="5">
        <v>43342</v>
      </c>
      <c r="C554" t="s">
        <v>92</v>
      </c>
      <c r="D554" s="40">
        <v>1695</v>
      </c>
      <c r="F554">
        <v>360</v>
      </c>
      <c r="G554" s="41">
        <v>43311</v>
      </c>
      <c r="H554" t="str">
        <v>TX</v>
      </c>
      <c r="I554">
        <v>808</v>
      </c>
    </row>
    <row r="555" spans="1:9" x14ac:dyDescent="0.25">
      <c r="A555">
        <v>941</v>
      </c>
      <c r="B555" s="5">
        <v>43424</v>
      </c>
      <c r="C555" t="s">
        <v>94</v>
      </c>
      <c r="D555" s="40">
        <v>1848</v>
      </c>
      <c r="F555">
        <v>522</v>
      </c>
      <c r="G555" s="41">
        <v>43343</v>
      </c>
      <c r="H555" t="str">
        <v>NY</v>
      </c>
      <c r="I555">
        <v>1332</v>
      </c>
    </row>
    <row r="556" spans="1:9" x14ac:dyDescent="0.25">
      <c r="A556">
        <v>382</v>
      </c>
      <c r="B556" s="5">
        <v>43315</v>
      </c>
      <c r="C556" t="s">
        <v>92</v>
      </c>
      <c r="D556" s="40">
        <v>1412</v>
      </c>
      <c r="F556">
        <v>396</v>
      </c>
      <c r="G556" s="41">
        <v>43319</v>
      </c>
      <c r="H556" t="str">
        <v>TX</v>
      </c>
      <c r="I556">
        <v>1632</v>
      </c>
    </row>
    <row r="557" spans="1:9" x14ac:dyDescent="0.25">
      <c r="A557">
        <v>228</v>
      </c>
      <c r="B557" s="5">
        <v>43289</v>
      </c>
      <c r="C557" t="s">
        <v>94</v>
      </c>
      <c r="D557" s="40">
        <v>568</v>
      </c>
      <c r="F557">
        <v>264</v>
      </c>
      <c r="G557" s="41">
        <v>43295</v>
      </c>
      <c r="H557" t="str">
        <v>NY</v>
      </c>
      <c r="I557">
        <v>1893</v>
      </c>
    </row>
    <row r="558" spans="1:9" x14ac:dyDescent="0.25">
      <c r="A558">
        <v>455</v>
      </c>
      <c r="B558" s="5">
        <v>43330</v>
      </c>
      <c r="C558" t="s">
        <v>93</v>
      </c>
      <c r="D558" s="40">
        <v>1038</v>
      </c>
      <c r="F558">
        <v>466</v>
      </c>
      <c r="G558" s="41">
        <v>43332</v>
      </c>
      <c r="H558" t="str">
        <v>NY</v>
      </c>
      <c r="I558">
        <v>1561</v>
      </c>
    </row>
    <row r="559" spans="1:9" x14ac:dyDescent="0.25">
      <c r="A559">
        <v>680</v>
      </c>
      <c r="B559" s="5">
        <v>43374</v>
      </c>
      <c r="C559" t="s">
        <v>92</v>
      </c>
      <c r="D559" s="40">
        <v>1760</v>
      </c>
      <c r="F559">
        <v>812</v>
      </c>
      <c r="G559" s="41">
        <v>43401</v>
      </c>
      <c r="H559" t="str">
        <v>TX</v>
      </c>
      <c r="I559">
        <v>1592</v>
      </c>
    </row>
    <row r="560" spans="1:9" x14ac:dyDescent="0.25">
      <c r="A560">
        <v>451</v>
      </c>
      <c r="B560" s="5">
        <v>43329</v>
      </c>
      <c r="C560" t="s">
        <v>93</v>
      </c>
      <c r="D560" s="40">
        <v>578</v>
      </c>
      <c r="F560">
        <v>776</v>
      </c>
      <c r="G560" s="41">
        <v>43393</v>
      </c>
      <c r="H560" t="str">
        <v>NY</v>
      </c>
      <c r="I560">
        <v>1836</v>
      </c>
    </row>
    <row r="561" spans="1:9" x14ac:dyDescent="0.25">
      <c r="A561">
        <v>327</v>
      </c>
      <c r="B561" s="5">
        <v>43305</v>
      </c>
      <c r="C561" t="s">
        <v>94</v>
      </c>
      <c r="D561" s="40">
        <v>851</v>
      </c>
      <c r="F561">
        <v>476</v>
      </c>
      <c r="G561" s="41">
        <v>43333</v>
      </c>
      <c r="H561" t="str">
        <v>TX</v>
      </c>
      <c r="I561">
        <v>1846</v>
      </c>
    </row>
    <row r="562" spans="1:9" x14ac:dyDescent="0.25">
      <c r="A562">
        <v>634</v>
      </c>
      <c r="B562" s="5">
        <v>43365</v>
      </c>
      <c r="C562" t="s">
        <v>92</v>
      </c>
      <c r="D562" s="40">
        <v>1418</v>
      </c>
      <c r="F562">
        <v>803</v>
      </c>
      <c r="G562" s="41">
        <v>43398</v>
      </c>
      <c r="H562" t="str">
        <v>CA</v>
      </c>
      <c r="I562">
        <v>1898</v>
      </c>
    </row>
    <row r="563" spans="1:9" x14ac:dyDescent="0.25">
      <c r="A563">
        <v>85</v>
      </c>
      <c r="B563" s="5">
        <v>43266</v>
      </c>
      <c r="C563" t="s">
        <v>94</v>
      </c>
      <c r="D563" s="40">
        <v>671</v>
      </c>
      <c r="F563">
        <v>686</v>
      </c>
      <c r="G563" s="41">
        <v>43376</v>
      </c>
      <c r="H563" t="str">
        <v>NY</v>
      </c>
      <c r="I563">
        <v>1945</v>
      </c>
    </row>
    <row r="564" spans="1:9" x14ac:dyDescent="0.25">
      <c r="A564">
        <v>341</v>
      </c>
      <c r="B564" s="5">
        <v>43308</v>
      </c>
      <c r="C564" t="s">
        <v>92</v>
      </c>
      <c r="D564" s="40">
        <v>1741</v>
      </c>
      <c r="F564">
        <v>989</v>
      </c>
      <c r="G564" s="41">
        <v>43433</v>
      </c>
      <c r="H564" t="str">
        <v>TX</v>
      </c>
      <c r="I564">
        <v>1919</v>
      </c>
    </row>
    <row r="565" spans="1:9" x14ac:dyDescent="0.25">
      <c r="A565">
        <v>606</v>
      </c>
      <c r="B565" s="5">
        <v>43357</v>
      </c>
      <c r="C565" t="s">
        <v>92</v>
      </c>
      <c r="D565" s="40">
        <v>1495</v>
      </c>
      <c r="F565">
        <v>930</v>
      </c>
      <c r="G565" s="41">
        <v>43422</v>
      </c>
      <c r="H565" t="str">
        <v>TX</v>
      </c>
      <c r="I565">
        <v>1421</v>
      </c>
    </row>
    <row r="566" spans="1:9" x14ac:dyDescent="0.25">
      <c r="A566">
        <v>113</v>
      </c>
      <c r="B566" s="5">
        <v>43269</v>
      </c>
      <c r="C566" t="s">
        <v>92</v>
      </c>
      <c r="D566" s="40">
        <v>542</v>
      </c>
      <c r="F566">
        <v>931</v>
      </c>
      <c r="G566" s="41">
        <v>43422</v>
      </c>
      <c r="H566" t="str">
        <v>TX</v>
      </c>
      <c r="I566">
        <v>1559</v>
      </c>
    </row>
    <row r="567" spans="1:9" x14ac:dyDescent="0.25">
      <c r="A567">
        <v>934</v>
      </c>
      <c r="B567" s="5">
        <v>43423</v>
      </c>
      <c r="C567" t="s">
        <v>92</v>
      </c>
      <c r="D567" s="40">
        <v>755</v>
      </c>
      <c r="F567">
        <v>820</v>
      </c>
      <c r="G567" s="41">
        <v>43402</v>
      </c>
      <c r="H567" t="str">
        <v>CA</v>
      </c>
      <c r="I567">
        <v>1831</v>
      </c>
    </row>
    <row r="568" spans="1:9" x14ac:dyDescent="0.25">
      <c r="A568">
        <v>617</v>
      </c>
      <c r="B568" s="5">
        <v>43362</v>
      </c>
      <c r="C568" t="s">
        <v>92</v>
      </c>
      <c r="D568" s="40">
        <v>1426</v>
      </c>
      <c r="F568">
        <v>196</v>
      </c>
      <c r="G568" s="41">
        <v>43284</v>
      </c>
      <c r="H568" t="str">
        <v>CA</v>
      </c>
      <c r="I568">
        <v>1219</v>
      </c>
    </row>
    <row r="569" spans="1:9" x14ac:dyDescent="0.25">
      <c r="A569">
        <v>404</v>
      </c>
      <c r="B569" s="5">
        <v>43321</v>
      </c>
      <c r="C569" t="s">
        <v>93</v>
      </c>
      <c r="D569" s="40">
        <v>1159</v>
      </c>
      <c r="F569">
        <v>649</v>
      </c>
      <c r="G569" s="41">
        <v>43367</v>
      </c>
      <c r="H569" t="str">
        <v>TX</v>
      </c>
      <c r="I569">
        <v>824</v>
      </c>
    </row>
    <row r="570" spans="1:9" x14ac:dyDescent="0.25">
      <c r="A570">
        <v>779</v>
      </c>
      <c r="B570" s="5">
        <v>43393</v>
      </c>
      <c r="C570" t="s">
        <v>93</v>
      </c>
      <c r="D570" s="40">
        <v>552</v>
      </c>
      <c r="F570">
        <v>980</v>
      </c>
      <c r="G570" s="41">
        <v>43432</v>
      </c>
      <c r="H570" t="str">
        <v>CA</v>
      </c>
      <c r="I570">
        <v>1976</v>
      </c>
    </row>
    <row r="571" spans="1:9" x14ac:dyDescent="0.25">
      <c r="A571">
        <v>368</v>
      </c>
      <c r="B571" s="5">
        <v>43313</v>
      </c>
      <c r="C571" t="s">
        <v>92</v>
      </c>
      <c r="D571" s="40">
        <v>1460</v>
      </c>
      <c r="F571">
        <v>743</v>
      </c>
      <c r="G571" s="41">
        <v>43387</v>
      </c>
      <c r="H571" t="str">
        <v>TX</v>
      </c>
      <c r="I571">
        <v>1888</v>
      </c>
    </row>
    <row r="572" spans="1:9" x14ac:dyDescent="0.25">
      <c r="A572">
        <v>852</v>
      </c>
      <c r="B572" s="5">
        <v>43410</v>
      </c>
      <c r="C572" t="s">
        <v>93</v>
      </c>
      <c r="D572" s="40">
        <v>1505</v>
      </c>
      <c r="F572">
        <v>422</v>
      </c>
      <c r="G572" s="41">
        <v>43324</v>
      </c>
      <c r="H572" t="str">
        <v>CA</v>
      </c>
      <c r="I572">
        <v>760</v>
      </c>
    </row>
    <row r="573" spans="1:9" x14ac:dyDescent="0.25">
      <c r="A573">
        <v>295</v>
      </c>
      <c r="B573" s="5">
        <v>43300</v>
      </c>
      <c r="C573" t="s">
        <v>94</v>
      </c>
      <c r="D573" s="40">
        <v>1747</v>
      </c>
      <c r="F573">
        <v>729</v>
      </c>
      <c r="G573" s="41">
        <v>43385</v>
      </c>
      <c r="H573" t="str">
        <v>NY</v>
      </c>
      <c r="I573">
        <v>591</v>
      </c>
    </row>
    <row r="574" spans="1:9" x14ac:dyDescent="0.25">
      <c r="A574">
        <v>732</v>
      </c>
      <c r="B574" s="5">
        <v>43386</v>
      </c>
      <c r="C574" t="s">
        <v>93</v>
      </c>
      <c r="D574" s="40">
        <v>723</v>
      </c>
      <c r="F574">
        <v>292</v>
      </c>
      <c r="G574" s="41">
        <v>43299</v>
      </c>
      <c r="H574" t="str">
        <v>CA</v>
      </c>
      <c r="I574">
        <v>629</v>
      </c>
    </row>
    <row r="575" spans="1:9" x14ac:dyDescent="0.25">
      <c r="A575">
        <v>738</v>
      </c>
      <c r="B575" s="5">
        <v>43386</v>
      </c>
      <c r="C575" t="s">
        <v>93</v>
      </c>
      <c r="D575" s="40">
        <v>1029</v>
      </c>
      <c r="F575">
        <v>186</v>
      </c>
      <c r="G575" s="41">
        <v>43283</v>
      </c>
      <c r="H575" t="str">
        <v>TX</v>
      </c>
      <c r="I575">
        <v>1144</v>
      </c>
    </row>
    <row r="576" spans="1:9" x14ac:dyDescent="0.25">
      <c r="A576">
        <v>718</v>
      </c>
      <c r="B576" s="5">
        <v>43383</v>
      </c>
      <c r="C576" t="s">
        <v>92</v>
      </c>
      <c r="D576" s="40">
        <v>1190</v>
      </c>
      <c r="F576">
        <v>734</v>
      </c>
      <c r="G576" s="41">
        <v>43386</v>
      </c>
      <c r="H576" t="str">
        <v>CA</v>
      </c>
      <c r="I576">
        <v>1532</v>
      </c>
    </row>
    <row r="577" spans="1:9" x14ac:dyDescent="0.25">
      <c r="A577">
        <v>904</v>
      </c>
      <c r="B577" s="5">
        <v>43419</v>
      </c>
      <c r="C577" t="s">
        <v>94</v>
      </c>
      <c r="D577" s="40">
        <v>1133</v>
      </c>
      <c r="F577">
        <v>747</v>
      </c>
      <c r="G577" s="41">
        <v>43388</v>
      </c>
      <c r="H577" t="str">
        <v>CA</v>
      </c>
      <c r="I577">
        <v>933</v>
      </c>
    </row>
    <row r="578" spans="1:9" x14ac:dyDescent="0.25">
      <c r="A578">
        <v>170</v>
      </c>
      <c r="B578" s="5">
        <v>43279</v>
      </c>
      <c r="C578" t="s">
        <v>92</v>
      </c>
      <c r="D578" s="40">
        <v>1257</v>
      </c>
      <c r="F578">
        <v>355</v>
      </c>
      <c r="G578" s="41">
        <v>43311</v>
      </c>
      <c r="H578" t="str">
        <v>NY</v>
      </c>
      <c r="I578">
        <v>1647</v>
      </c>
    </row>
    <row r="579" spans="1:9" x14ac:dyDescent="0.25">
      <c r="A579">
        <v>34</v>
      </c>
      <c r="B579" s="5">
        <v>43256</v>
      </c>
      <c r="C579" t="s">
        <v>94</v>
      </c>
      <c r="D579" s="40">
        <v>1545</v>
      </c>
      <c r="F579">
        <v>741</v>
      </c>
      <c r="G579" s="41">
        <v>43386</v>
      </c>
      <c r="H579" t="str">
        <v>NY</v>
      </c>
      <c r="I579">
        <v>1285</v>
      </c>
    </row>
    <row r="580" spans="1:9" x14ac:dyDescent="0.25">
      <c r="A580">
        <v>917</v>
      </c>
      <c r="B580" s="5">
        <v>43420</v>
      </c>
      <c r="C580" t="s">
        <v>93</v>
      </c>
      <c r="D580" s="40">
        <v>815</v>
      </c>
      <c r="F580">
        <v>557</v>
      </c>
      <c r="G580" s="41">
        <v>43348</v>
      </c>
      <c r="H580" t="str">
        <v>CA</v>
      </c>
      <c r="I580">
        <v>1064</v>
      </c>
    </row>
    <row r="581" spans="1:9" x14ac:dyDescent="0.25">
      <c r="A581">
        <v>401</v>
      </c>
      <c r="B581" s="5">
        <v>43320</v>
      </c>
      <c r="C581" t="s">
        <v>94</v>
      </c>
      <c r="D581" s="40">
        <v>897</v>
      </c>
      <c r="F581">
        <v>375</v>
      </c>
      <c r="G581" s="41">
        <v>43314</v>
      </c>
      <c r="H581" t="str">
        <v>TX</v>
      </c>
      <c r="I581">
        <v>1507</v>
      </c>
    </row>
    <row r="582" spans="1:9" x14ac:dyDescent="0.25">
      <c r="A582">
        <v>872</v>
      </c>
      <c r="B582" s="5">
        <v>43413</v>
      </c>
      <c r="C582" t="s">
        <v>92</v>
      </c>
      <c r="D582" s="40">
        <v>1318</v>
      </c>
      <c r="F582">
        <v>754</v>
      </c>
      <c r="G582" s="41">
        <v>43388</v>
      </c>
      <c r="H582" t="str">
        <v>CA</v>
      </c>
      <c r="I582">
        <v>1239</v>
      </c>
    </row>
    <row r="583" spans="1:9" x14ac:dyDescent="0.25">
      <c r="A583">
        <v>925</v>
      </c>
      <c r="B583" s="5">
        <v>43422</v>
      </c>
      <c r="C583" t="s">
        <v>92</v>
      </c>
      <c r="D583" s="40">
        <v>1031</v>
      </c>
      <c r="F583">
        <v>244</v>
      </c>
      <c r="G583" s="41">
        <v>43292</v>
      </c>
      <c r="H583" t="str">
        <v>CA</v>
      </c>
      <c r="I583">
        <v>1974</v>
      </c>
    </row>
    <row r="584" spans="1:9" x14ac:dyDescent="0.25">
      <c r="A584">
        <v>558</v>
      </c>
      <c r="B584" s="5">
        <v>43348</v>
      </c>
      <c r="C584" t="s">
        <v>93</v>
      </c>
      <c r="D584" s="40">
        <v>842</v>
      </c>
      <c r="F584">
        <v>410</v>
      </c>
      <c r="G584" s="41">
        <v>43322</v>
      </c>
      <c r="H584" t="str">
        <v>CA</v>
      </c>
      <c r="I584">
        <v>1456</v>
      </c>
    </row>
    <row r="585" spans="1:9" x14ac:dyDescent="0.25">
      <c r="A585">
        <v>149</v>
      </c>
      <c r="B585" s="5">
        <v>43276</v>
      </c>
      <c r="C585" t="s">
        <v>94</v>
      </c>
      <c r="D585" s="40">
        <v>765</v>
      </c>
      <c r="F585">
        <v>661</v>
      </c>
      <c r="G585" s="41">
        <v>43368</v>
      </c>
      <c r="H585" t="str">
        <v>CA</v>
      </c>
      <c r="I585">
        <v>1035</v>
      </c>
    </row>
    <row r="586" spans="1:9" x14ac:dyDescent="0.25">
      <c r="A586">
        <v>153</v>
      </c>
      <c r="B586" s="5">
        <v>43276</v>
      </c>
      <c r="C586" t="s">
        <v>93</v>
      </c>
      <c r="D586" s="40">
        <v>695</v>
      </c>
      <c r="F586">
        <v>600</v>
      </c>
      <c r="G586" s="41">
        <v>43356</v>
      </c>
      <c r="H586" t="str">
        <v>CA</v>
      </c>
      <c r="I586">
        <v>1379</v>
      </c>
    </row>
    <row r="587" spans="1:9" x14ac:dyDescent="0.25">
      <c r="A587">
        <v>371</v>
      </c>
      <c r="B587" s="5">
        <v>43313</v>
      </c>
      <c r="C587" t="s">
        <v>92</v>
      </c>
      <c r="D587" s="40">
        <v>745</v>
      </c>
      <c r="F587">
        <v>457</v>
      </c>
      <c r="G587" s="41">
        <v>43330</v>
      </c>
      <c r="H587" t="str">
        <v>TX</v>
      </c>
      <c r="I587">
        <v>876</v>
      </c>
    </row>
    <row r="588" spans="1:9" x14ac:dyDescent="0.25">
      <c r="A588">
        <v>834</v>
      </c>
      <c r="B588" s="5">
        <v>43407</v>
      </c>
      <c r="C588" t="s">
        <v>92</v>
      </c>
      <c r="D588" s="40">
        <v>1552</v>
      </c>
      <c r="F588">
        <v>526</v>
      </c>
      <c r="G588" s="41">
        <v>43344</v>
      </c>
      <c r="H588" t="str">
        <v>CA</v>
      </c>
      <c r="I588">
        <v>1712</v>
      </c>
    </row>
    <row r="589" spans="1:9" x14ac:dyDescent="0.25">
      <c r="A589">
        <v>140</v>
      </c>
      <c r="B589" s="5">
        <v>43274</v>
      </c>
      <c r="C589" t="s">
        <v>92</v>
      </c>
      <c r="D589" s="40">
        <v>603</v>
      </c>
      <c r="F589">
        <v>798</v>
      </c>
      <c r="G589" s="41">
        <v>43397</v>
      </c>
      <c r="H589" t="str">
        <v>CA</v>
      </c>
      <c r="I589">
        <v>1777</v>
      </c>
    </row>
    <row r="590" spans="1:9" x14ac:dyDescent="0.25">
      <c r="A590">
        <v>479</v>
      </c>
      <c r="B590" s="5">
        <v>43334</v>
      </c>
      <c r="C590" t="s">
        <v>92</v>
      </c>
      <c r="D590" s="40">
        <v>1008</v>
      </c>
      <c r="F590">
        <v>236</v>
      </c>
      <c r="G590" s="41">
        <v>43291</v>
      </c>
      <c r="H590" t="str">
        <v>NY</v>
      </c>
      <c r="I590">
        <v>815</v>
      </c>
    </row>
    <row r="591" spans="1:9" x14ac:dyDescent="0.25">
      <c r="A591">
        <v>939</v>
      </c>
      <c r="B591" s="5">
        <v>43423</v>
      </c>
      <c r="C591" t="s">
        <v>93</v>
      </c>
      <c r="D591" s="40">
        <v>948</v>
      </c>
      <c r="F591">
        <v>789</v>
      </c>
      <c r="G591" s="41">
        <v>43395</v>
      </c>
      <c r="H591" t="str">
        <v>CA</v>
      </c>
      <c r="I591">
        <v>1703</v>
      </c>
    </row>
    <row r="592" spans="1:9" x14ac:dyDescent="0.25">
      <c r="A592">
        <v>471</v>
      </c>
      <c r="B592" s="5">
        <v>43333</v>
      </c>
      <c r="C592" t="s">
        <v>93</v>
      </c>
      <c r="D592" s="40">
        <v>1372</v>
      </c>
      <c r="F592">
        <v>314</v>
      </c>
      <c r="G592" s="41">
        <v>43303</v>
      </c>
      <c r="H592" t="str">
        <v>CA</v>
      </c>
      <c r="I592">
        <v>731</v>
      </c>
    </row>
    <row r="593" spans="1:9" x14ac:dyDescent="0.25">
      <c r="A593">
        <v>664</v>
      </c>
      <c r="B593" s="5">
        <v>43369</v>
      </c>
      <c r="C593" t="s">
        <v>92</v>
      </c>
      <c r="D593" s="40">
        <v>568</v>
      </c>
      <c r="F593">
        <v>830</v>
      </c>
      <c r="G593" s="41">
        <v>43405</v>
      </c>
      <c r="H593" t="str">
        <v>TX</v>
      </c>
      <c r="I593">
        <v>1565</v>
      </c>
    </row>
    <row r="594" spans="1:9" x14ac:dyDescent="0.25">
      <c r="A594">
        <v>677</v>
      </c>
      <c r="B594" s="5">
        <v>43373</v>
      </c>
      <c r="C594" t="s">
        <v>93</v>
      </c>
      <c r="D594" s="40">
        <v>1692</v>
      </c>
      <c r="F594">
        <v>191</v>
      </c>
      <c r="G594" s="41">
        <v>43283</v>
      </c>
      <c r="H594" t="str">
        <v>CA</v>
      </c>
      <c r="I594">
        <v>1998</v>
      </c>
    </row>
    <row r="595" spans="1:9" x14ac:dyDescent="0.25">
      <c r="A595">
        <v>272</v>
      </c>
      <c r="B595" s="5">
        <v>43296</v>
      </c>
      <c r="C595" t="s">
        <v>93</v>
      </c>
      <c r="D595" s="40">
        <v>1180</v>
      </c>
      <c r="F595">
        <v>498</v>
      </c>
      <c r="G595" s="41">
        <v>43338</v>
      </c>
      <c r="H595" t="str">
        <v>CA</v>
      </c>
      <c r="I595">
        <v>1597</v>
      </c>
    </row>
    <row r="596" spans="1:9" x14ac:dyDescent="0.25">
      <c r="A596">
        <v>505</v>
      </c>
      <c r="B596" s="5">
        <v>43339</v>
      </c>
      <c r="C596" t="s">
        <v>92</v>
      </c>
      <c r="D596" s="40">
        <v>1248</v>
      </c>
      <c r="F596">
        <v>648</v>
      </c>
      <c r="G596" s="41">
        <v>43367</v>
      </c>
      <c r="H596" t="str">
        <v>NY</v>
      </c>
      <c r="I596">
        <v>1053</v>
      </c>
    </row>
    <row r="597" spans="1:9" x14ac:dyDescent="0.25">
      <c r="A597">
        <v>870</v>
      </c>
      <c r="B597" s="5">
        <v>43413</v>
      </c>
      <c r="C597" t="s">
        <v>93</v>
      </c>
      <c r="D597" s="40">
        <v>1216</v>
      </c>
      <c r="F597">
        <v>842</v>
      </c>
      <c r="G597" s="41">
        <v>43408</v>
      </c>
      <c r="H597" t="str">
        <v>CA</v>
      </c>
      <c r="I597">
        <v>681</v>
      </c>
    </row>
    <row r="598" spans="1:9" x14ac:dyDescent="0.25">
      <c r="A598">
        <v>960</v>
      </c>
      <c r="B598" s="5">
        <v>43428</v>
      </c>
      <c r="C598" t="s">
        <v>94</v>
      </c>
      <c r="D598" s="40">
        <v>1937</v>
      </c>
      <c r="F598">
        <v>568</v>
      </c>
      <c r="G598" s="41">
        <v>43350</v>
      </c>
      <c r="H598" t="str">
        <v>TX</v>
      </c>
      <c r="I598">
        <v>1968</v>
      </c>
    </row>
    <row r="599" spans="1:9" x14ac:dyDescent="0.25">
      <c r="A599">
        <v>951</v>
      </c>
      <c r="B599" s="5">
        <v>43426</v>
      </c>
      <c r="C599" t="s">
        <v>94</v>
      </c>
      <c r="D599" s="40">
        <v>1856</v>
      </c>
      <c r="F599">
        <v>955</v>
      </c>
      <c r="G599" s="41">
        <v>43427</v>
      </c>
      <c r="H599" t="str">
        <v>CA</v>
      </c>
      <c r="I599">
        <v>1132</v>
      </c>
    </row>
    <row r="600" spans="1:9" x14ac:dyDescent="0.25">
      <c r="A600">
        <v>337</v>
      </c>
      <c r="B600" s="5">
        <v>43307</v>
      </c>
      <c r="C600" t="s">
        <v>92</v>
      </c>
      <c r="D600" s="40">
        <v>1658</v>
      </c>
      <c r="F600">
        <v>475</v>
      </c>
      <c r="G600" s="41">
        <v>43333</v>
      </c>
      <c r="H600" t="str">
        <v>CA</v>
      </c>
      <c r="I600">
        <v>1409</v>
      </c>
    </row>
    <row r="601" spans="1:9" x14ac:dyDescent="0.25">
      <c r="A601">
        <v>883</v>
      </c>
      <c r="B601" s="5">
        <v>43415</v>
      </c>
      <c r="C601" t="s">
        <v>92</v>
      </c>
      <c r="D601" s="40">
        <v>1328</v>
      </c>
      <c r="F601">
        <v>296</v>
      </c>
      <c r="G601" s="41">
        <v>43300</v>
      </c>
      <c r="H601" t="str">
        <v>NY</v>
      </c>
      <c r="I601">
        <v>1695</v>
      </c>
    </row>
    <row r="602" spans="1:9" x14ac:dyDescent="0.25">
      <c r="A602">
        <v>700</v>
      </c>
      <c r="B602" s="5">
        <v>43380</v>
      </c>
      <c r="C602" t="s">
        <v>93</v>
      </c>
      <c r="D602" s="40">
        <v>847</v>
      </c>
      <c r="F602">
        <v>832</v>
      </c>
      <c r="G602" s="41">
        <v>43405</v>
      </c>
      <c r="H602" t="str">
        <v>NY</v>
      </c>
      <c r="I602">
        <v>1990</v>
      </c>
    </row>
    <row r="603" spans="1:9" x14ac:dyDescent="0.25">
      <c r="A603">
        <v>14</v>
      </c>
      <c r="B603" s="5">
        <v>43254</v>
      </c>
      <c r="C603" t="s">
        <v>93</v>
      </c>
      <c r="D603" s="40">
        <v>1270</v>
      </c>
      <c r="F603">
        <v>379</v>
      </c>
      <c r="G603" s="41">
        <v>43315</v>
      </c>
      <c r="H603" t="str">
        <v>NY</v>
      </c>
      <c r="I603">
        <v>1131</v>
      </c>
    </row>
    <row r="604" spans="1:9" x14ac:dyDescent="0.25">
      <c r="A604">
        <v>589</v>
      </c>
      <c r="B604" s="5">
        <v>43355</v>
      </c>
      <c r="C604" t="s">
        <v>93</v>
      </c>
      <c r="D604" s="40">
        <v>927</v>
      </c>
      <c r="F604">
        <v>843</v>
      </c>
      <c r="G604" s="41">
        <v>43408</v>
      </c>
      <c r="H604" t="str">
        <v>CA</v>
      </c>
      <c r="I604">
        <v>673</v>
      </c>
    </row>
    <row r="605" spans="1:9" x14ac:dyDescent="0.25">
      <c r="A605">
        <v>126</v>
      </c>
      <c r="B605" s="5">
        <v>43272</v>
      </c>
      <c r="C605" t="s">
        <v>94</v>
      </c>
      <c r="D605" s="40">
        <v>720</v>
      </c>
      <c r="F605">
        <v>756</v>
      </c>
      <c r="G605" s="41">
        <v>43389</v>
      </c>
      <c r="H605" t="str">
        <v>CA</v>
      </c>
      <c r="I605">
        <v>1248</v>
      </c>
    </row>
    <row r="606" spans="1:9" x14ac:dyDescent="0.25">
      <c r="A606">
        <v>691</v>
      </c>
      <c r="B606" s="5">
        <v>43378</v>
      </c>
      <c r="C606" t="s">
        <v>92</v>
      </c>
      <c r="D606" s="40">
        <v>634</v>
      </c>
      <c r="F606">
        <v>563</v>
      </c>
      <c r="G606" s="41">
        <v>43349</v>
      </c>
      <c r="H606" t="str">
        <v>NY</v>
      </c>
      <c r="I606">
        <v>1536</v>
      </c>
    </row>
    <row r="607" spans="1:9" x14ac:dyDescent="0.25">
      <c r="A607">
        <v>687</v>
      </c>
      <c r="B607" s="5">
        <v>43377</v>
      </c>
      <c r="C607" t="s">
        <v>92</v>
      </c>
      <c r="D607" s="40">
        <v>642</v>
      </c>
      <c r="F607">
        <v>943</v>
      </c>
      <c r="G607" s="41">
        <v>43424</v>
      </c>
      <c r="H607" t="str">
        <v>TX</v>
      </c>
      <c r="I607">
        <v>1949</v>
      </c>
    </row>
    <row r="608" spans="1:9" x14ac:dyDescent="0.25">
      <c r="A608">
        <v>644</v>
      </c>
      <c r="B608" s="5">
        <v>43366</v>
      </c>
      <c r="C608" t="s">
        <v>94</v>
      </c>
      <c r="D608" s="40">
        <v>565</v>
      </c>
      <c r="F608">
        <v>940</v>
      </c>
      <c r="G608" s="41">
        <v>43424</v>
      </c>
      <c r="H608" t="str">
        <v>NY</v>
      </c>
      <c r="I608">
        <v>1641</v>
      </c>
    </row>
    <row r="609" spans="1:9" x14ac:dyDescent="0.25">
      <c r="A609">
        <v>357</v>
      </c>
      <c r="B609" s="5">
        <v>43311</v>
      </c>
      <c r="C609" t="s">
        <v>94</v>
      </c>
      <c r="D609" s="40">
        <v>903</v>
      </c>
      <c r="F609">
        <v>595</v>
      </c>
      <c r="G609" s="41">
        <v>43356</v>
      </c>
      <c r="H609" t="str">
        <v>NY</v>
      </c>
      <c r="I609">
        <v>1988</v>
      </c>
    </row>
    <row r="610" spans="1:9" x14ac:dyDescent="0.25">
      <c r="A610">
        <v>385</v>
      </c>
      <c r="B610" s="5">
        <v>43316</v>
      </c>
      <c r="C610" t="s">
        <v>92</v>
      </c>
      <c r="D610" s="40">
        <v>635</v>
      </c>
      <c r="F610">
        <v>248</v>
      </c>
      <c r="G610" s="41">
        <v>43293</v>
      </c>
      <c r="H610" t="str">
        <v>NY</v>
      </c>
      <c r="I610">
        <v>1214</v>
      </c>
    </row>
    <row r="611" spans="1:9" x14ac:dyDescent="0.25">
      <c r="A611">
        <v>530</v>
      </c>
      <c r="B611" s="5">
        <v>43344</v>
      </c>
      <c r="C611" t="s">
        <v>92</v>
      </c>
      <c r="D611" s="40">
        <v>979</v>
      </c>
      <c r="F611">
        <v>697</v>
      </c>
      <c r="G611" s="41">
        <v>43378</v>
      </c>
      <c r="H611" t="str">
        <v>CA</v>
      </c>
      <c r="I611">
        <v>530</v>
      </c>
    </row>
    <row r="612" spans="1:9" x14ac:dyDescent="0.25">
      <c r="A612">
        <v>110</v>
      </c>
      <c r="B612" s="5">
        <v>43269</v>
      </c>
      <c r="C612" t="s">
        <v>94</v>
      </c>
      <c r="D612" s="40">
        <v>1762</v>
      </c>
      <c r="F612">
        <v>369</v>
      </c>
      <c r="G612" s="41">
        <v>43313</v>
      </c>
      <c r="H612" t="str">
        <v>TX</v>
      </c>
      <c r="I612">
        <v>1758</v>
      </c>
    </row>
    <row r="613" spans="1:9" x14ac:dyDescent="0.25">
      <c r="A613">
        <v>199</v>
      </c>
      <c r="B613" s="5">
        <v>43284</v>
      </c>
      <c r="C613" t="s">
        <v>92</v>
      </c>
      <c r="D613" s="40">
        <v>1994</v>
      </c>
      <c r="F613">
        <v>280</v>
      </c>
      <c r="G613" s="41">
        <v>43297</v>
      </c>
      <c r="H613" t="str">
        <v>CA</v>
      </c>
      <c r="I613">
        <v>1268</v>
      </c>
    </row>
    <row r="614" spans="1:9" x14ac:dyDescent="0.25">
      <c r="A614">
        <v>964</v>
      </c>
      <c r="B614" s="5">
        <v>43428</v>
      </c>
      <c r="C614" t="s">
        <v>93</v>
      </c>
      <c r="D614" s="40">
        <v>1286</v>
      </c>
      <c r="F614">
        <v>777</v>
      </c>
      <c r="G614" s="41">
        <v>43393</v>
      </c>
      <c r="H614" t="str">
        <v>TX</v>
      </c>
      <c r="I614">
        <v>1720</v>
      </c>
    </row>
    <row r="615" spans="1:9" x14ac:dyDescent="0.25">
      <c r="A615">
        <v>984</v>
      </c>
      <c r="B615" s="5">
        <v>43432</v>
      </c>
      <c r="C615" t="s">
        <v>93</v>
      </c>
      <c r="D615" s="40">
        <v>1999</v>
      </c>
      <c r="F615">
        <v>893</v>
      </c>
      <c r="G615" s="41">
        <v>43416</v>
      </c>
      <c r="H615" t="str">
        <v>NY</v>
      </c>
      <c r="I615">
        <v>1121</v>
      </c>
    </row>
    <row r="616" spans="1:9" x14ac:dyDescent="0.25">
      <c r="A616">
        <v>222</v>
      </c>
      <c r="B616" s="5">
        <v>43288</v>
      </c>
      <c r="C616" t="s">
        <v>92</v>
      </c>
      <c r="D616" s="40">
        <v>1167</v>
      </c>
      <c r="F616">
        <v>205</v>
      </c>
      <c r="G616" s="41">
        <v>43286</v>
      </c>
      <c r="H616" t="str">
        <v>TX</v>
      </c>
      <c r="I616">
        <v>530</v>
      </c>
    </row>
    <row r="617" spans="1:9" x14ac:dyDescent="0.25">
      <c r="A617">
        <v>363</v>
      </c>
      <c r="B617" s="5">
        <v>43312</v>
      </c>
      <c r="C617" t="s">
        <v>93</v>
      </c>
      <c r="D617" s="40">
        <v>1577</v>
      </c>
      <c r="F617">
        <v>513</v>
      </c>
      <c r="G617" s="41">
        <v>43340</v>
      </c>
      <c r="H617" t="str">
        <v>CA</v>
      </c>
      <c r="I617">
        <v>1662</v>
      </c>
    </row>
    <row r="618" spans="1:9" x14ac:dyDescent="0.25">
      <c r="A618">
        <v>889</v>
      </c>
      <c r="B618" s="5">
        <v>43416</v>
      </c>
      <c r="C618" t="s">
        <v>92</v>
      </c>
      <c r="D618" s="40">
        <v>883</v>
      </c>
      <c r="F618">
        <v>804</v>
      </c>
      <c r="G618" s="41">
        <v>43399</v>
      </c>
      <c r="H618" t="str">
        <v>NY</v>
      </c>
      <c r="I618">
        <v>771</v>
      </c>
    </row>
    <row r="619" spans="1:9" x14ac:dyDescent="0.25">
      <c r="A619">
        <v>996</v>
      </c>
      <c r="B619" s="5">
        <v>43434</v>
      </c>
      <c r="C619" t="s">
        <v>92</v>
      </c>
      <c r="D619" s="40">
        <v>1620</v>
      </c>
      <c r="F619">
        <v>440</v>
      </c>
      <c r="G619" s="41">
        <v>43328</v>
      </c>
      <c r="H619" t="str">
        <v>NY</v>
      </c>
      <c r="I619">
        <v>1057</v>
      </c>
    </row>
    <row r="620" spans="1:9" x14ac:dyDescent="0.25">
      <c r="A620">
        <v>508</v>
      </c>
      <c r="B620" s="5">
        <v>43339</v>
      </c>
      <c r="C620" t="s">
        <v>94</v>
      </c>
      <c r="D620" s="40">
        <v>1758</v>
      </c>
      <c r="F620">
        <v>665</v>
      </c>
      <c r="G620" s="41">
        <v>43369</v>
      </c>
      <c r="H620" t="str">
        <v>TX</v>
      </c>
      <c r="I620">
        <v>1247</v>
      </c>
    </row>
    <row r="621" spans="1:9" x14ac:dyDescent="0.25">
      <c r="A621">
        <v>525</v>
      </c>
      <c r="B621" s="5">
        <v>43344</v>
      </c>
      <c r="C621" t="s">
        <v>94</v>
      </c>
      <c r="D621" s="40">
        <v>954</v>
      </c>
      <c r="F621">
        <v>635</v>
      </c>
      <c r="G621" s="41">
        <v>43365</v>
      </c>
      <c r="H621" t="str">
        <v>NY</v>
      </c>
      <c r="I621">
        <v>1228</v>
      </c>
    </row>
    <row r="622" spans="1:9" x14ac:dyDescent="0.25">
      <c r="A622">
        <v>115</v>
      </c>
      <c r="B622" s="5">
        <v>43270</v>
      </c>
      <c r="C622" t="s">
        <v>93</v>
      </c>
      <c r="D622" s="40">
        <v>1182</v>
      </c>
      <c r="F622">
        <v>377</v>
      </c>
      <c r="G622" s="41">
        <v>43314</v>
      </c>
      <c r="H622" t="str">
        <v>CA</v>
      </c>
      <c r="I622">
        <v>1284</v>
      </c>
    </row>
    <row r="623" spans="1:9" x14ac:dyDescent="0.25">
      <c r="A623">
        <v>499</v>
      </c>
      <c r="B623" s="5">
        <v>43338</v>
      </c>
      <c r="C623" t="s">
        <v>93</v>
      </c>
      <c r="D623" s="40">
        <v>1785</v>
      </c>
      <c r="F623">
        <v>719</v>
      </c>
      <c r="G623" s="41">
        <v>43384</v>
      </c>
      <c r="H623" t="str">
        <v>NY</v>
      </c>
      <c r="I623">
        <v>1506</v>
      </c>
    </row>
    <row r="624" spans="1:9" x14ac:dyDescent="0.25">
      <c r="A624">
        <v>542</v>
      </c>
      <c r="B624" s="5">
        <v>43346</v>
      </c>
      <c r="C624" t="s">
        <v>94</v>
      </c>
      <c r="D624" s="40">
        <v>823</v>
      </c>
      <c r="F624">
        <v>239</v>
      </c>
      <c r="G624" s="41">
        <v>43291</v>
      </c>
      <c r="H624" t="str">
        <v>TX</v>
      </c>
      <c r="I624">
        <v>1874</v>
      </c>
    </row>
    <row r="625" spans="1:9" x14ac:dyDescent="0.25">
      <c r="A625">
        <v>720</v>
      </c>
      <c r="B625" s="5">
        <v>43384</v>
      </c>
      <c r="C625" t="s">
        <v>92</v>
      </c>
      <c r="D625" s="40">
        <v>1717</v>
      </c>
      <c r="F625">
        <v>217</v>
      </c>
      <c r="G625" s="41">
        <v>43287</v>
      </c>
      <c r="H625" t="str">
        <v>CA</v>
      </c>
      <c r="I625">
        <v>1750</v>
      </c>
    </row>
    <row r="626" spans="1:9" x14ac:dyDescent="0.25">
      <c r="A626">
        <v>910</v>
      </c>
      <c r="B626" s="5">
        <v>43419</v>
      </c>
      <c r="C626" t="s">
        <v>92</v>
      </c>
      <c r="D626" s="40">
        <v>1214</v>
      </c>
      <c r="F626">
        <v>675</v>
      </c>
      <c r="G626" s="41">
        <v>43373</v>
      </c>
      <c r="H626" t="str">
        <v>CA</v>
      </c>
      <c r="I626">
        <v>1842</v>
      </c>
    </row>
    <row r="627" spans="1:9" x14ac:dyDescent="0.25">
      <c r="A627">
        <v>8</v>
      </c>
      <c r="B627" s="5">
        <v>43253</v>
      </c>
      <c r="C627" t="s">
        <v>92</v>
      </c>
      <c r="D627" s="40">
        <v>1559</v>
      </c>
      <c r="F627">
        <v>527</v>
      </c>
      <c r="G627" s="41">
        <v>43344</v>
      </c>
      <c r="H627" t="str">
        <v>TX</v>
      </c>
      <c r="I627">
        <v>668</v>
      </c>
    </row>
    <row r="628" spans="1:9" x14ac:dyDescent="0.25">
      <c r="A628">
        <v>443</v>
      </c>
      <c r="B628" s="5">
        <v>43328</v>
      </c>
      <c r="C628" t="s">
        <v>92</v>
      </c>
      <c r="D628" s="40">
        <v>727</v>
      </c>
      <c r="F628">
        <v>536</v>
      </c>
      <c r="G628" s="41">
        <v>43345</v>
      </c>
      <c r="H628" t="str">
        <v>NY</v>
      </c>
      <c r="I628">
        <v>1567</v>
      </c>
    </row>
    <row r="629" spans="1:9" x14ac:dyDescent="0.25">
      <c r="A629">
        <v>429</v>
      </c>
      <c r="B629" s="5">
        <v>43325</v>
      </c>
      <c r="C629" t="s">
        <v>92</v>
      </c>
      <c r="D629" s="40">
        <v>1843</v>
      </c>
      <c r="F629">
        <v>882</v>
      </c>
      <c r="G629" s="41">
        <v>43415</v>
      </c>
      <c r="H629" t="str">
        <v>CA</v>
      </c>
      <c r="I629">
        <v>1855</v>
      </c>
    </row>
    <row r="630" spans="1:9" x14ac:dyDescent="0.25">
      <c r="A630">
        <v>304</v>
      </c>
      <c r="B630" s="5">
        <v>43301</v>
      </c>
      <c r="C630" t="s">
        <v>92</v>
      </c>
      <c r="D630" s="40">
        <v>1200</v>
      </c>
      <c r="F630">
        <v>209</v>
      </c>
      <c r="G630" s="41">
        <v>43286</v>
      </c>
      <c r="H630" t="str">
        <v>TX</v>
      </c>
      <c r="I630">
        <v>1390</v>
      </c>
    </row>
    <row r="631" spans="1:9" x14ac:dyDescent="0.25">
      <c r="A631">
        <v>735</v>
      </c>
      <c r="B631" s="5">
        <v>43386</v>
      </c>
      <c r="C631" t="s">
        <v>94</v>
      </c>
      <c r="D631" s="40">
        <v>765</v>
      </c>
      <c r="F631">
        <v>807</v>
      </c>
      <c r="G631" s="41">
        <v>43400</v>
      </c>
      <c r="H631" t="str">
        <v>TX</v>
      </c>
      <c r="I631">
        <v>1539</v>
      </c>
    </row>
    <row r="632" spans="1:9" x14ac:dyDescent="0.25">
      <c r="A632">
        <v>247</v>
      </c>
      <c r="B632" s="5">
        <v>43292</v>
      </c>
      <c r="C632" t="s">
        <v>93</v>
      </c>
      <c r="D632" s="40">
        <v>1203</v>
      </c>
      <c r="F632">
        <v>381</v>
      </c>
      <c r="G632" s="41">
        <v>43315</v>
      </c>
      <c r="H632" t="str">
        <v>CA</v>
      </c>
      <c r="I632">
        <v>1454</v>
      </c>
    </row>
    <row r="633" spans="1:9" x14ac:dyDescent="0.25">
      <c r="A633">
        <v>968</v>
      </c>
      <c r="B633" s="5">
        <v>43429</v>
      </c>
      <c r="C633" t="s">
        <v>92</v>
      </c>
      <c r="D633" s="40">
        <v>540</v>
      </c>
      <c r="F633">
        <v>493</v>
      </c>
      <c r="G633" s="41">
        <v>43336</v>
      </c>
      <c r="H633" t="str">
        <v>CA</v>
      </c>
      <c r="I633">
        <v>746</v>
      </c>
    </row>
    <row r="634" spans="1:9" x14ac:dyDescent="0.25">
      <c r="A634">
        <v>353</v>
      </c>
      <c r="B634" s="5">
        <v>43311</v>
      </c>
      <c r="C634" t="s">
        <v>92</v>
      </c>
      <c r="D634" s="40">
        <v>809</v>
      </c>
      <c r="F634">
        <v>250</v>
      </c>
      <c r="G634" s="41">
        <v>43293</v>
      </c>
      <c r="H634" t="str">
        <v>NY</v>
      </c>
      <c r="I634">
        <v>1250</v>
      </c>
    </row>
    <row r="635" spans="1:9" x14ac:dyDescent="0.25">
      <c r="A635">
        <v>770</v>
      </c>
      <c r="B635" s="5">
        <v>43392</v>
      </c>
      <c r="C635" t="s">
        <v>94</v>
      </c>
      <c r="D635" s="40">
        <v>830</v>
      </c>
      <c r="F635">
        <v>317</v>
      </c>
      <c r="G635" s="41">
        <v>43304</v>
      </c>
      <c r="H635" t="str">
        <v>TX</v>
      </c>
      <c r="I635">
        <v>1920</v>
      </c>
    </row>
    <row r="636" spans="1:9" x14ac:dyDescent="0.25">
      <c r="A636">
        <v>507</v>
      </c>
      <c r="B636" s="5">
        <v>43339</v>
      </c>
      <c r="C636" t="s">
        <v>93</v>
      </c>
      <c r="D636" s="40">
        <v>1031</v>
      </c>
      <c r="F636">
        <v>528</v>
      </c>
      <c r="G636" s="41">
        <v>43344</v>
      </c>
      <c r="H636" t="str">
        <v>NY</v>
      </c>
      <c r="I636">
        <v>1635</v>
      </c>
    </row>
    <row r="637" spans="1:9" x14ac:dyDescent="0.25">
      <c r="A637">
        <v>529</v>
      </c>
      <c r="B637" s="5">
        <v>43344</v>
      </c>
      <c r="C637" t="s">
        <v>92</v>
      </c>
      <c r="D637" s="40">
        <v>1990</v>
      </c>
      <c r="F637">
        <v>746</v>
      </c>
      <c r="G637" s="41">
        <v>43387</v>
      </c>
      <c r="H637" t="str">
        <v>NY</v>
      </c>
      <c r="I637">
        <v>1269</v>
      </c>
    </row>
    <row r="638" spans="1:9" x14ac:dyDescent="0.25">
      <c r="A638">
        <v>245</v>
      </c>
      <c r="B638" s="5">
        <v>43292</v>
      </c>
      <c r="C638" t="s">
        <v>93</v>
      </c>
      <c r="D638" s="40">
        <v>671</v>
      </c>
      <c r="F638">
        <v>641</v>
      </c>
      <c r="G638" s="41">
        <v>43366</v>
      </c>
      <c r="H638" t="str">
        <v>CA</v>
      </c>
      <c r="I638">
        <v>1513</v>
      </c>
    </row>
    <row r="639" spans="1:9" x14ac:dyDescent="0.25">
      <c r="A639">
        <v>374</v>
      </c>
      <c r="B639" s="5">
        <v>43314</v>
      </c>
      <c r="C639" t="s">
        <v>92</v>
      </c>
      <c r="D639" s="40">
        <v>1022</v>
      </c>
      <c r="F639">
        <v>340</v>
      </c>
      <c r="G639" s="41">
        <v>43308</v>
      </c>
      <c r="H639" t="str">
        <v>TX</v>
      </c>
      <c r="I639">
        <v>1014</v>
      </c>
    </row>
    <row r="640" spans="1:9" x14ac:dyDescent="0.25">
      <c r="A640">
        <v>346</v>
      </c>
      <c r="B640" s="5">
        <v>43310</v>
      </c>
      <c r="C640" t="s">
        <v>93</v>
      </c>
      <c r="D640" s="40">
        <v>1701</v>
      </c>
      <c r="F640">
        <v>855</v>
      </c>
      <c r="G640" s="41">
        <v>43410</v>
      </c>
      <c r="H640" t="str">
        <v>NY</v>
      </c>
      <c r="I640">
        <v>922</v>
      </c>
    </row>
    <row r="641" spans="1:9" x14ac:dyDescent="0.25">
      <c r="A641">
        <v>487</v>
      </c>
      <c r="B641" s="5">
        <v>43335</v>
      </c>
      <c r="C641" t="s">
        <v>94</v>
      </c>
      <c r="D641" s="40">
        <v>700</v>
      </c>
      <c r="F641">
        <v>409</v>
      </c>
      <c r="G641" s="41">
        <v>43322</v>
      </c>
      <c r="H641" t="str">
        <v>CA</v>
      </c>
      <c r="I641">
        <v>988</v>
      </c>
    </row>
    <row r="642" spans="1:9" x14ac:dyDescent="0.25">
      <c r="A642">
        <v>413</v>
      </c>
      <c r="B642" s="5">
        <v>43323</v>
      </c>
      <c r="C642" t="s">
        <v>92</v>
      </c>
      <c r="D642" s="40">
        <v>1130</v>
      </c>
      <c r="F642">
        <v>555</v>
      </c>
      <c r="G642" s="41">
        <v>43348</v>
      </c>
      <c r="H642" t="str">
        <v>TX</v>
      </c>
      <c r="I642">
        <v>1726</v>
      </c>
    </row>
    <row r="643" spans="1:9" x14ac:dyDescent="0.25">
      <c r="A643">
        <v>258</v>
      </c>
      <c r="B643" s="5">
        <v>43294</v>
      </c>
      <c r="C643" t="s">
        <v>94</v>
      </c>
      <c r="D643" s="40">
        <v>1720</v>
      </c>
      <c r="F643">
        <v>567</v>
      </c>
      <c r="G643" s="41">
        <v>43350</v>
      </c>
      <c r="H643" t="str">
        <v>NY</v>
      </c>
      <c r="I643">
        <v>637</v>
      </c>
    </row>
    <row r="644" spans="1:9" x14ac:dyDescent="0.25">
      <c r="A644">
        <v>105</v>
      </c>
      <c r="B644" s="5">
        <v>43268</v>
      </c>
      <c r="C644" t="s">
        <v>92</v>
      </c>
      <c r="D644" s="40">
        <v>1603</v>
      </c>
      <c r="F644">
        <v>598</v>
      </c>
      <c r="G644" s="41">
        <v>43356</v>
      </c>
      <c r="H644" t="str">
        <v>TX</v>
      </c>
      <c r="I644">
        <v>898</v>
      </c>
    </row>
    <row r="645" spans="1:9" x14ac:dyDescent="0.25">
      <c r="A645">
        <v>201</v>
      </c>
      <c r="B645" s="5">
        <v>43285</v>
      </c>
      <c r="C645" t="s">
        <v>94</v>
      </c>
      <c r="D645" s="40">
        <v>1840</v>
      </c>
      <c r="F645">
        <v>560</v>
      </c>
      <c r="G645" s="41">
        <v>43348</v>
      </c>
      <c r="H645" t="str">
        <v>NY</v>
      </c>
      <c r="I645">
        <v>1712</v>
      </c>
    </row>
    <row r="646" spans="1:9" x14ac:dyDescent="0.25">
      <c r="A646">
        <v>733</v>
      </c>
      <c r="B646" s="5">
        <v>43386</v>
      </c>
      <c r="C646" t="s">
        <v>94</v>
      </c>
      <c r="D646" s="40">
        <v>956</v>
      </c>
      <c r="F646">
        <v>556</v>
      </c>
      <c r="G646" s="41">
        <v>43348</v>
      </c>
      <c r="H646" t="str">
        <v>TX</v>
      </c>
      <c r="I646">
        <v>1441</v>
      </c>
    </row>
    <row r="647" spans="1:9" x14ac:dyDescent="0.25">
      <c r="A647">
        <v>551</v>
      </c>
      <c r="B647" s="5">
        <v>43347</v>
      </c>
      <c r="C647" t="s">
        <v>94</v>
      </c>
      <c r="D647" s="40">
        <v>1945</v>
      </c>
      <c r="F647">
        <v>679</v>
      </c>
      <c r="G647" s="41">
        <v>43373</v>
      </c>
      <c r="H647" t="str">
        <v>NY</v>
      </c>
      <c r="I647">
        <v>752</v>
      </c>
    </row>
    <row r="648" spans="1:9" x14ac:dyDescent="0.25">
      <c r="A648">
        <v>156</v>
      </c>
      <c r="B648" s="5">
        <v>43277</v>
      </c>
      <c r="C648" t="s">
        <v>92</v>
      </c>
      <c r="D648" s="40">
        <v>971</v>
      </c>
      <c r="F648">
        <v>458</v>
      </c>
      <c r="G648" s="41">
        <v>43331</v>
      </c>
      <c r="H648" t="str">
        <v>CA</v>
      </c>
      <c r="I648">
        <v>1575</v>
      </c>
    </row>
    <row r="649" spans="1:9" x14ac:dyDescent="0.25">
      <c r="A649">
        <v>456</v>
      </c>
      <c r="B649" s="5">
        <v>43330</v>
      </c>
      <c r="C649" t="s">
        <v>94</v>
      </c>
      <c r="D649" s="40">
        <v>537</v>
      </c>
      <c r="F649">
        <v>817</v>
      </c>
      <c r="G649" s="41">
        <v>43402</v>
      </c>
      <c r="H649" t="str">
        <v>CA</v>
      </c>
      <c r="I649">
        <v>1212</v>
      </c>
    </row>
    <row r="650" spans="1:9" x14ac:dyDescent="0.25">
      <c r="A650">
        <v>441</v>
      </c>
      <c r="B650" s="5">
        <v>43328</v>
      </c>
      <c r="C650" t="s">
        <v>94</v>
      </c>
      <c r="D650" s="40">
        <v>700</v>
      </c>
      <c r="F650">
        <v>837</v>
      </c>
      <c r="G650" s="41">
        <v>43407</v>
      </c>
      <c r="H650" t="str">
        <v>CA</v>
      </c>
      <c r="I650">
        <v>701</v>
      </c>
    </row>
    <row r="651" spans="1:9" x14ac:dyDescent="0.25">
      <c r="A651">
        <v>313</v>
      </c>
      <c r="B651" s="5">
        <v>43303</v>
      </c>
      <c r="C651" t="s">
        <v>93</v>
      </c>
      <c r="D651" s="40">
        <v>1373</v>
      </c>
      <c r="F651">
        <v>623</v>
      </c>
      <c r="G651" s="41">
        <v>43364</v>
      </c>
      <c r="H651" t="str">
        <v>TX</v>
      </c>
      <c r="I651">
        <v>1001</v>
      </c>
    </row>
    <row r="652" spans="1:9" x14ac:dyDescent="0.25">
      <c r="A652">
        <v>938</v>
      </c>
      <c r="B652" s="5">
        <v>43423</v>
      </c>
      <c r="C652" t="s">
        <v>93</v>
      </c>
      <c r="D652" s="40">
        <v>1924</v>
      </c>
      <c r="F652">
        <v>956</v>
      </c>
      <c r="G652" s="41">
        <v>43427</v>
      </c>
      <c r="H652" t="str">
        <v>TX</v>
      </c>
      <c r="I652">
        <v>1000</v>
      </c>
    </row>
    <row r="653" spans="1:9" x14ac:dyDescent="0.25">
      <c r="A653">
        <v>36</v>
      </c>
      <c r="B653" s="5">
        <v>43257</v>
      </c>
      <c r="C653" t="s">
        <v>94</v>
      </c>
      <c r="D653" s="40">
        <v>1198</v>
      </c>
      <c r="F653">
        <v>354</v>
      </c>
      <c r="G653" s="41">
        <v>43311</v>
      </c>
      <c r="H653" t="str">
        <v>TX</v>
      </c>
      <c r="I653">
        <v>583</v>
      </c>
    </row>
    <row r="654" spans="1:9" x14ac:dyDescent="0.25">
      <c r="A654">
        <v>412</v>
      </c>
      <c r="B654" s="5">
        <v>43322</v>
      </c>
      <c r="C654" t="s">
        <v>93</v>
      </c>
      <c r="D654" s="40">
        <v>861</v>
      </c>
      <c r="F654">
        <v>695</v>
      </c>
      <c r="G654" s="41">
        <v>43378</v>
      </c>
      <c r="H654" t="str">
        <v>TX</v>
      </c>
      <c r="I654">
        <v>1888</v>
      </c>
    </row>
    <row r="655" spans="1:9" x14ac:dyDescent="0.25">
      <c r="A655">
        <v>436</v>
      </c>
      <c r="B655" s="5">
        <v>43327</v>
      </c>
      <c r="C655" t="s">
        <v>92</v>
      </c>
      <c r="D655" s="40">
        <v>1705</v>
      </c>
      <c r="F655">
        <v>416</v>
      </c>
      <c r="G655" s="41">
        <v>43323</v>
      </c>
      <c r="H655" t="str">
        <v>NY</v>
      </c>
      <c r="I655">
        <v>863</v>
      </c>
    </row>
    <row r="656" spans="1:9" x14ac:dyDescent="0.25">
      <c r="A656">
        <v>364</v>
      </c>
      <c r="B656" s="5">
        <v>43313</v>
      </c>
      <c r="C656" t="s">
        <v>93</v>
      </c>
      <c r="D656" s="40">
        <v>1624</v>
      </c>
      <c r="F656">
        <v>330</v>
      </c>
      <c r="G656" s="41">
        <v>43306</v>
      </c>
      <c r="H656" t="str">
        <v>TX</v>
      </c>
      <c r="I656">
        <v>899</v>
      </c>
    </row>
    <row r="657" spans="1:9" x14ac:dyDescent="0.25">
      <c r="A657">
        <v>602</v>
      </c>
      <c r="B657" s="5">
        <v>43356</v>
      </c>
      <c r="C657" t="s">
        <v>92</v>
      </c>
      <c r="D657" s="40">
        <v>591</v>
      </c>
      <c r="F657">
        <v>868</v>
      </c>
      <c r="G657" s="41">
        <v>43412</v>
      </c>
      <c r="H657" t="str">
        <v>TX</v>
      </c>
      <c r="I657">
        <v>515</v>
      </c>
    </row>
    <row r="658" spans="1:9" x14ac:dyDescent="0.25">
      <c r="A658">
        <v>511</v>
      </c>
      <c r="B658" s="5">
        <v>43339</v>
      </c>
      <c r="C658" t="s">
        <v>93</v>
      </c>
      <c r="D658" s="40">
        <v>876</v>
      </c>
      <c r="F658">
        <v>869</v>
      </c>
      <c r="G658" s="41">
        <v>43412</v>
      </c>
      <c r="H658" t="str">
        <v>CA</v>
      </c>
      <c r="I658">
        <v>797</v>
      </c>
    </row>
    <row r="659" spans="1:9" x14ac:dyDescent="0.25">
      <c r="A659">
        <v>945</v>
      </c>
      <c r="B659" s="5">
        <v>43425</v>
      </c>
      <c r="C659" t="s">
        <v>93</v>
      </c>
      <c r="D659" s="40">
        <v>966</v>
      </c>
      <c r="F659">
        <v>336</v>
      </c>
      <c r="G659" s="41">
        <v>43307</v>
      </c>
      <c r="H659" t="str">
        <v>NY</v>
      </c>
      <c r="I659">
        <v>1327</v>
      </c>
    </row>
    <row r="660" spans="1:9" x14ac:dyDescent="0.25">
      <c r="A660">
        <v>928</v>
      </c>
      <c r="B660" s="5">
        <v>43422</v>
      </c>
      <c r="C660" t="s">
        <v>92</v>
      </c>
      <c r="D660" s="40">
        <v>1917</v>
      </c>
      <c r="F660">
        <v>884</v>
      </c>
      <c r="G660" s="41">
        <v>43415</v>
      </c>
      <c r="H660" t="str">
        <v>NY</v>
      </c>
      <c r="I660">
        <v>1691</v>
      </c>
    </row>
    <row r="661" spans="1:9" x14ac:dyDescent="0.25">
      <c r="A661">
        <v>988</v>
      </c>
      <c r="B661" s="5">
        <v>43433</v>
      </c>
      <c r="C661" t="s">
        <v>92</v>
      </c>
      <c r="D661" s="40">
        <v>737</v>
      </c>
      <c r="F661">
        <v>958</v>
      </c>
      <c r="G661" s="41">
        <v>43427</v>
      </c>
      <c r="H661" t="str">
        <v>NY</v>
      </c>
      <c r="I661">
        <v>649</v>
      </c>
    </row>
    <row r="662" spans="1:9" x14ac:dyDescent="0.25">
      <c r="A662">
        <v>350</v>
      </c>
      <c r="B662" s="5">
        <v>43310</v>
      </c>
      <c r="C662" t="s">
        <v>93</v>
      </c>
      <c r="D662" s="40">
        <v>757</v>
      </c>
      <c r="F662">
        <v>999</v>
      </c>
      <c r="G662" s="41">
        <v>43434</v>
      </c>
      <c r="H662" t="str">
        <v>CA</v>
      </c>
      <c r="I662">
        <v>1205</v>
      </c>
    </row>
    <row r="663" spans="1:9" x14ac:dyDescent="0.25">
      <c r="A663">
        <v>624</v>
      </c>
      <c r="B663" s="5">
        <v>43364</v>
      </c>
      <c r="C663" t="s">
        <v>92</v>
      </c>
      <c r="D663" s="40">
        <v>667</v>
      </c>
      <c r="F663">
        <v>206</v>
      </c>
      <c r="G663" s="41">
        <v>43286</v>
      </c>
      <c r="H663" t="str">
        <v>TX</v>
      </c>
      <c r="I663">
        <v>594</v>
      </c>
    </row>
    <row r="664" spans="1:9" x14ac:dyDescent="0.25">
      <c r="A664">
        <v>724</v>
      </c>
      <c r="B664" s="5">
        <v>43385</v>
      </c>
      <c r="C664" t="s">
        <v>94</v>
      </c>
      <c r="D664" s="40">
        <v>1919</v>
      </c>
      <c r="F664">
        <v>343</v>
      </c>
      <c r="G664" s="41">
        <v>43309</v>
      </c>
      <c r="H664" t="str">
        <v>TX</v>
      </c>
      <c r="I664">
        <v>1026</v>
      </c>
    </row>
    <row r="665" spans="1:9" x14ac:dyDescent="0.25">
      <c r="A665">
        <v>947</v>
      </c>
      <c r="B665" s="5">
        <v>43425</v>
      </c>
      <c r="C665" t="s">
        <v>94</v>
      </c>
      <c r="D665" s="40">
        <v>1602</v>
      </c>
      <c r="F665">
        <v>302</v>
      </c>
      <c r="G665" s="41">
        <v>43301</v>
      </c>
      <c r="H665" t="str">
        <v>CA</v>
      </c>
      <c r="I665">
        <v>1556</v>
      </c>
    </row>
    <row r="666" spans="1:9" x14ac:dyDescent="0.25">
      <c r="A666">
        <v>553</v>
      </c>
      <c r="B666" s="5">
        <v>43348</v>
      </c>
      <c r="C666" t="s">
        <v>94</v>
      </c>
      <c r="D666" s="40">
        <v>1687</v>
      </c>
      <c r="F666">
        <v>757</v>
      </c>
      <c r="G666" s="41">
        <v>43389</v>
      </c>
      <c r="H666" t="str">
        <v>TX</v>
      </c>
      <c r="I666">
        <v>1914</v>
      </c>
    </row>
    <row r="667" spans="1:9" x14ac:dyDescent="0.25">
      <c r="A667">
        <v>579</v>
      </c>
      <c r="B667" s="5">
        <v>43352</v>
      </c>
      <c r="C667" t="s">
        <v>94</v>
      </c>
      <c r="D667" s="40">
        <v>1263</v>
      </c>
      <c r="F667">
        <v>348</v>
      </c>
      <c r="G667" s="41">
        <v>43310</v>
      </c>
      <c r="H667" t="str">
        <v>CA</v>
      </c>
      <c r="I667">
        <v>1414</v>
      </c>
    </row>
    <row r="668" spans="1:9" x14ac:dyDescent="0.25">
      <c r="A668">
        <v>847</v>
      </c>
      <c r="B668" s="5">
        <v>43409</v>
      </c>
      <c r="C668" t="s">
        <v>94</v>
      </c>
      <c r="D668" s="40">
        <v>1853</v>
      </c>
      <c r="F668">
        <v>861</v>
      </c>
      <c r="G668" s="41">
        <v>43411</v>
      </c>
      <c r="H668" t="str">
        <v>CA</v>
      </c>
      <c r="I668">
        <v>1844</v>
      </c>
    </row>
    <row r="669" spans="1:9" x14ac:dyDescent="0.25">
      <c r="A669">
        <v>213</v>
      </c>
      <c r="B669" s="5">
        <v>43287</v>
      </c>
      <c r="C669" t="s">
        <v>94</v>
      </c>
      <c r="D669" s="40">
        <v>1776</v>
      </c>
      <c r="F669">
        <v>430</v>
      </c>
      <c r="G669" s="41">
        <v>43326</v>
      </c>
      <c r="H669" t="str">
        <v>NY</v>
      </c>
      <c r="I669">
        <v>1415</v>
      </c>
    </row>
    <row r="670" spans="1:9" x14ac:dyDescent="0.25">
      <c r="A670">
        <v>965</v>
      </c>
      <c r="B670" s="5">
        <v>43428</v>
      </c>
      <c r="C670" t="s">
        <v>94</v>
      </c>
      <c r="D670" s="40">
        <v>1170</v>
      </c>
      <c r="F670">
        <v>878</v>
      </c>
      <c r="G670" s="41">
        <v>43414</v>
      </c>
      <c r="H670" t="str">
        <v>NY</v>
      </c>
      <c r="I670">
        <v>824</v>
      </c>
    </row>
    <row r="671" spans="1:9" x14ac:dyDescent="0.25">
      <c r="A671">
        <v>256</v>
      </c>
      <c r="B671" s="5">
        <v>43294</v>
      </c>
      <c r="C671" t="s">
        <v>94</v>
      </c>
      <c r="D671" s="40">
        <v>599</v>
      </c>
      <c r="F671">
        <v>827</v>
      </c>
      <c r="G671" s="41">
        <v>43404</v>
      </c>
      <c r="H671" t="str">
        <v>TX</v>
      </c>
      <c r="I671">
        <v>515</v>
      </c>
    </row>
    <row r="672" spans="1:9" x14ac:dyDescent="0.25">
      <c r="A672">
        <v>516</v>
      </c>
      <c r="B672" s="5">
        <v>43341</v>
      </c>
      <c r="C672" t="s">
        <v>93</v>
      </c>
      <c r="D672" s="40">
        <v>895</v>
      </c>
      <c r="F672">
        <v>470</v>
      </c>
      <c r="G672" s="41">
        <v>43332</v>
      </c>
      <c r="H672" t="str">
        <v>TX</v>
      </c>
      <c r="I672">
        <v>1975</v>
      </c>
    </row>
    <row r="673" spans="1:9" x14ac:dyDescent="0.25">
      <c r="A673">
        <v>106</v>
      </c>
      <c r="B673" s="5">
        <v>43269</v>
      </c>
      <c r="C673" t="s">
        <v>94</v>
      </c>
      <c r="D673" s="40">
        <v>1871</v>
      </c>
      <c r="F673">
        <v>503</v>
      </c>
      <c r="G673" s="41">
        <v>43339</v>
      </c>
      <c r="H673" t="str">
        <v>CA</v>
      </c>
      <c r="I673">
        <v>1216</v>
      </c>
    </row>
    <row r="674" spans="1:9" x14ac:dyDescent="0.25">
      <c r="A674">
        <v>793</v>
      </c>
      <c r="B674" s="5">
        <v>43396</v>
      </c>
      <c r="C674" t="s">
        <v>92</v>
      </c>
      <c r="D674" s="40">
        <v>1999</v>
      </c>
      <c r="F674">
        <v>848</v>
      </c>
      <c r="G674" s="41">
        <v>43409</v>
      </c>
      <c r="H674" t="str">
        <v>CA</v>
      </c>
      <c r="I674">
        <v>1899</v>
      </c>
    </row>
    <row r="675" spans="1:9" x14ac:dyDescent="0.25">
      <c r="A675">
        <v>189</v>
      </c>
      <c r="B675" s="5">
        <v>43283</v>
      </c>
      <c r="C675" t="s">
        <v>93</v>
      </c>
      <c r="D675" s="40">
        <v>1158</v>
      </c>
      <c r="F675">
        <v>705</v>
      </c>
      <c r="G675" s="41">
        <v>43381</v>
      </c>
      <c r="H675" t="str">
        <v>NY</v>
      </c>
      <c r="I675">
        <v>1103</v>
      </c>
    </row>
    <row r="676" spans="1:9" x14ac:dyDescent="0.25">
      <c r="A676">
        <v>360</v>
      </c>
      <c r="B676" s="5">
        <v>43311</v>
      </c>
      <c r="C676" t="s">
        <v>94</v>
      </c>
      <c r="D676" s="40">
        <v>808</v>
      </c>
      <c r="F676">
        <v>727</v>
      </c>
      <c r="G676" s="41">
        <v>43385</v>
      </c>
      <c r="H676" t="str">
        <v>TX</v>
      </c>
      <c r="I676">
        <v>683</v>
      </c>
    </row>
    <row r="677" spans="1:9" x14ac:dyDescent="0.25">
      <c r="A677">
        <v>522</v>
      </c>
      <c r="B677" s="5">
        <v>43343</v>
      </c>
      <c r="C677" t="s">
        <v>93</v>
      </c>
      <c r="D677" s="40">
        <v>1332</v>
      </c>
      <c r="F677">
        <v>301</v>
      </c>
      <c r="G677" s="41">
        <v>43301</v>
      </c>
      <c r="H677" t="str">
        <v>CA</v>
      </c>
      <c r="I677">
        <v>788</v>
      </c>
    </row>
    <row r="678" spans="1:9" x14ac:dyDescent="0.25">
      <c r="A678">
        <v>396</v>
      </c>
      <c r="B678" s="5">
        <v>43319</v>
      </c>
      <c r="C678" t="s">
        <v>94</v>
      </c>
      <c r="D678" s="40">
        <v>1632</v>
      </c>
      <c r="F678">
        <v>671</v>
      </c>
      <c r="G678" s="41">
        <v>43371</v>
      </c>
      <c r="H678" t="str">
        <v>TX</v>
      </c>
      <c r="I678">
        <v>758</v>
      </c>
    </row>
    <row r="679" spans="1:9" x14ac:dyDescent="0.25">
      <c r="A679">
        <v>264</v>
      </c>
      <c r="B679" s="5">
        <v>43295</v>
      </c>
      <c r="C679" t="s">
        <v>93</v>
      </c>
      <c r="D679" s="40">
        <v>1893</v>
      </c>
      <c r="F679">
        <v>987</v>
      </c>
      <c r="G679" s="41">
        <v>43432</v>
      </c>
      <c r="H679" t="str">
        <v>NY</v>
      </c>
      <c r="I679">
        <v>572</v>
      </c>
    </row>
    <row r="680" spans="1:9" x14ac:dyDescent="0.25">
      <c r="A680">
        <v>466</v>
      </c>
      <c r="B680" s="5">
        <v>43332</v>
      </c>
      <c r="C680" t="s">
        <v>93</v>
      </c>
      <c r="D680" s="40">
        <v>1561</v>
      </c>
      <c r="F680">
        <v>689</v>
      </c>
      <c r="G680" s="41">
        <v>43377</v>
      </c>
      <c r="H680" t="str">
        <v>NY</v>
      </c>
      <c r="I680">
        <v>1485</v>
      </c>
    </row>
    <row r="681" spans="1:9" x14ac:dyDescent="0.25">
      <c r="A681">
        <v>812</v>
      </c>
      <c r="B681" s="5">
        <v>43401</v>
      </c>
      <c r="C681" t="s">
        <v>94</v>
      </c>
      <c r="D681" s="40">
        <v>1592</v>
      </c>
      <c r="F681">
        <v>788</v>
      </c>
      <c r="G681" s="41">
        <v>43395</v>
      </c>
      <c r="H681" t="str">
        <v>NY</v>
      </c>
      <c r="I681">
        <v>1025</v>
      </c>
    </row>
    <row r="682" spans="1:9" x14ac:dyDescent="0.25">
      <c r="A682">
        <v>776</v>
      </c>
      <c r="B682" s="5">
        <v>43393</v>
      </c>
      <c r="C682" t="s">
        <v>93</v>
      </c>
      <c r="D682" s="40">
        <v>1836</v>
      </c>
      <c r="F682">
        <v>478</v>
      </c>
      <c r="G682" s="41">
        <v>43334</v>
      </c>
      <c r="H682" t="str">
        <v>TX</v>
      </c>
      <c r="I682">
        <v>1481</v>
      </c>
    </row>
    <row r="683" spans="1:9" x14ac:dyDescent="0.25">
      <c r="A683">
        <v>476</v>
      </c>
      <c r="B683" s="5">
        <v>43333</v>
      </c>
      <c r="C683" t="s">
        <v>94</v>
      </c>
      <c r="D683" s="40">
        <v>1846</v>
      </c>
      <c r="F683">
        <v>496</v>
      </c>
      <c r="G683" s="41">
        <v>43338</v>
      </c>
      <c r="H683" t="str">
        <v>CA</v>
      </c>
      <c r="I683">
        <v>615</v>
      </c>
    </row>
    <row r="684" spans="1:9" x14ac:dyDescent="0.25">
      <c r="A684">
        <v>88</v>
      </c>
      <c r="B684" s="5">
        <v>43266</v>
      </c>
      <c r="C684" t="s">
        <v>93</v>
      </c>
      <c r="D684" s="40">
        <v>712</v>
      </c>
      <c r="F684">
        <v>911</v>
      </c>
      <c r="G684" s="41">
        <v>43419</v>
      </c>
      <c r="H684" t="str">
        <v>TX</v>
      </c>
      <c r="I684">
        <v>1121</v>
      </c>
    </row>
    <row r="685" spans="1:9" x14ac:dyDescent="0.25">
      <c r="A685">
        <v>803</v>
      </c>
      <c r="B685" s="5">
        <v>43398</v>
      </c>
      <c r="C685" t="s">
        <v>92</v>
      </c>
      <c r="D685" s="40">
        <v>1898</v>
      </c>
      <c r="F685">
        <v>223</v>
      </c>
      <c r="G685" s="41">
        <v>43288</v>
      </c>
      <c r="H685" t="str">
        <v>NY</v>
      </c>
      <c r="I685">
        <v>876</v>
      </c>
    </row>
    <row r="686" spans="1:9" x14ac:dyDescent="0.25">
      <c r="A686">
        <v>686</v>
      </c>
      <c r="B686" s="5">
        <v>43376</v>
      </c>
      <c r="C686" t="s">
        <v>93</v>
      </c>
      <c r="D686" s="40">
        <v>1945</v>
      </c>
      <c r="F686">
        <v>594</v>
      </c>
      <c r="G686" s="41">
        <v>43356</v>
      </c>
      <c r="H686" t="str">
        <v>CA</v>
      </c>
      <c r="I686">
        <v>1594</v>
      </c>
    </row>
    <row r="687" spans="1:9" x14ac:dyDescent="0.25">
      <c r="A687">
        <v>989</v>
      </c>
      <c r="B687" s="5">
        <v>43433</v>
      </c>
      <c r="C687" t="s">
        <v>94</v>
      </c>
      <c r="D687" s="40">
        <v>1919</v>
      </c>
      <c r="F687">
        <v>380</v>
      </c>
      <c r="G687" s="41">
        <v>43315</v>
      </c>
      <c r="H687" t="str">
        <v>TX</v>
      </c>
      <c r="I687">
        <v>1191</v>
      </c>
    </row>
    <row r="688" spans="1:9" x14ac:dyDescent="0.25">
      <c r="A688">
        <v>89</v>
      </c>
      <c r="B688" s="5">
        <v>43266</v>
      </c>
      <c r="C688" t="s">
        <v>93</v>
      </c>
      <c r="D688" s="40">
        <v>1095</v>
      </c>
      <c r="F688">
        <v>613</v>
      </c>
      <c r="G688" s="41">
        <v>43360</v>
      </c>
      <c r="H688" t="str">
        <v>CA</v>
      </c>
      <c r="I688">
        <v>530</v>
      </c>
    </row>
    <row r="689" spans="1:9" x14ac:dyDescent="0.25">
      <c r="A689">
        <v>930</v>
      </c>
      <c r="B689" s="5">
        <v>43422</v>
      </c>
      <c r="C689" t="s">
        <v>94</v>
      </c>
      <c r="D689" s="40">
        <v>1421</v>
      </c>
      <c r="F689">
        <v>391</v>
      </c>
      <c r="G689" s="41">
        <v>43318</v>
      </c>
      <c r="H689" t="str">
        <v>NY</v>
      </c>
      <c r="I689">
        <v>900</v>
      </c>
    </row>
    <row r="690" spans="1:9" x14ac:dyDescent="0.25">
      <c r="A690">
        <v>931</v>
      </c>
      <c r="B690" s="5">
        <v>43422</v>
      </c>
      <c r="C690" t="s">
        <v>94</v>
      </c>
      <c r="D690" s="40">
        <v>1559</v>
      </c>
      <c r="F690">
        <v>448</v>
      </c>
      <c r="G690" s="41">
        <v>43329</v>
      </c>
      <c r="H690" t="str">
        <v>NY</v>
      </c>
      <c r="I690">
        <v>891</v>
      </c>
    </row>
    <row r="691" spans="1:9" x14ac:dyDescent="0.25">
      <c r="A691">
        <v>820</v>
      </c>
      <c r="B691" s="5">
        <v>43402</v>
      </c>
      <c r="C691" t="s">
        <v>92</v>
      </c>
      <c r="D691" s="40">
        <v>1831</v>
      </c>
      <c r="F691">
        <v>646</v>
      </c>
      <c r="G691" s="41">
        <v>43366</v>
      </c>
      <c r="H691" t="str">
        <v>NY</v>
      </c>
      <c r="I691">
        <v>1064</v>
      </c>
    </row>
    <row r="692" spans="1:9" x14ac:dyDescent="0.25">
      <c r="A692">
        <v>196</v>
      </c>
      <c r="B692" s="5">
        <v>43284</v>
      </c>
      <c r="C692" t="s">
        <v>92</v>
      </c>
      <c r="D692" s="40">
        <v>1219</v>
      </c>
      <c r="F692">
        <v>835</v>
      </c>
      <c r="G692" s="41">
        <v>43407</v>
      </c>
      <c r="H692" t="str">
        <v>TX</v>
      </c>
      <c r="I692">
        <v>771</v>
      </c>
    </row>
    <row r="693" spans="1:9" x14ac:dyDescent="0.25">
      <c r="A693">
        <v>649</v>
      </c>
      <c r="B693" s="5">
        <v>43367</v>
      </c>
      <c r="C693" t="s">
        <v>94</v>
      </c>
      <c r="D693" s="40">
        <v>824</v>
      </c>
      <c r="F693">
        <v>954</v>
      </c>
      <c r="G693" s="41">
        <v>43427</v>
      </c>
      <c r="H693" t="str">
        <v>NY</v>
      </c>
      <c r="I693">
        <v>559</v>
      </c>
    </row>
    <row r="694" spans="1:9" x14ac:dyDescent="0.25">
      <c r="A694">
        <v>980</v>
      </c>
      <c r="B694" s="5">
        <v>43432</v>
      </c>
      <c r="C694" t="s">
        <v>92</v>
      </c>
      <c r="D694" s="40">
        <v>1976</v>
      </c>
      <c r="F694">
        <v>230</v>
      </c>
      <c r="G694" s="41">
        <v>43289</v>
      </c>
      <c r="H694" t="str">
        <v>CA</v>
      </c>
      <c r="I694">
        <v>605</v>
      </c>
    </row>
    <row r="695" spans="1:9" x14ac:dyDescent="0.25">
      <c r="A695">
        <v>743</v>
      </c>
      <c r="B695" s="5">
        <v>43387</v>
      </c>
      <c r="C695" t="s">
        <v>94</v>
      </c>
      <c r="D695" s="40">
        <v>1888</v>
      </c>
      <c r="F695">
        <v>953</v>
      </c>
      <c r="G695" s="41">
        <v>43427</v>
      </c>
      <c r="H695" t="str">
        <v>CA</v>
      </c>
      <c r="I695">
        <v>758</v>
      </c>
    </row>
    <row r="696" spans="1:9" x14ac:dyDescent="0.25">
      <c r="A696">
        <v>422</v>
      </c>
      <c r="B696" s="5">
        <v>43324</v>
      </c>
      <c r="C696" t="s">
        <v>92</v>
      </c>
      <c r="D696" s="40">
        <v>760</v>
      </c>
      <c r="F696">
        <v>670</v>
      </c>
      <c r="G696" s="41">
        <v>43370</v>
      </c>
      <c r="H696" t="str">
        <v>CA</v>
      </c>
      <c r="I696">
        <v>1551</v>
      </c>
    </row>
    <row r="697" spans="1:9" x14ac:dyDescent="0.25">
      <c r="A697">
        <v>729</v>
      </c>
      <c r="B697" s="5">
        <v>43385</v>
      </c>
      <c r="C697" t="s">
        <v>93</v>
      </c>
      <c r="D697" s="40">
        <v>591</v>
      </c>
      <c r="F697">
        <v>491</v>
      </c>
      <c r="G697" s="41">
        <v>43335</v>
      </c>
      <c r="H697" t="str">
        <v>NY</v>
      </c>
      <c r="I697">
        <v>1189</v>
      </c>
    </row>
    <row r="698" spans="1:9" x14ac:dyDescent="0.25">
      <c r="A698">
        <v>292</v>
      </c>
      <c r="B698" s="5">
        <v>43299</v>
      </c>
      <c r="C698" t="s">
        <v>92</v>
      </c>
      <c r="D698" s="40">
        <v>629</v>
      </c>
      <c r="F698">
        <v>415</v>
      </c>
      <c r="G698" s="41">
        <v>43323</v>
      </c>
      <c r="H698" t="str">
        <v>NY</v>
      </c>
      <c r="I698">
        <v>1260</v>
      </c>
    </row>
    <row r="699" spans="1:9" x14ac:dyDescent="0.25">
      <c r="A699">
        <v>186</v>
      </c>
      <c r="B699" s="5">
        <v>43283</v>
      </c>
      <c r="C699" t="s">
        <v>94</v>
      </c>
      <c r="D699" s="40">
        <v>1144</v>
      </c>
      <c r="F699">
        <v>708</v>
      </c>
      <c r="G699" s="41">
        <v>43382</v>
      </c>
      <c r="H699" t="str">
        <v>NY</v>
      </c>
      <c r="I699">
        <v>1547</v>
      </c>
    </row>
    <row r="700" spans="1:9" x14ac:dyDescent="0.25">
      <c r="A700">
        <v>734</v>
      </c>
      <c r="B700" s="5">
        <v>43386</v>
      </c>
      <c r="C700" t="s">
        <v>92</v>
      </c>
      <c r="D700" s="40">
        <v>1532</v>
      </c>
      <c r="F700">
        <v>1000</v>
      </c>
      <c r="G700" s="41">
        <v>43434</v>
      </c>
      <c r="H700" t="str">
        <v>TX</v>
      </c>
      <c r="I700">
        <v>1060</v>
      </c>
    </row>
    <row r="701" spans="1:9" x14ac:dyDescent="0.25">
      <c r="A701">
        <v>747</v>
      </c>
      <c r="B701" s="5">
        <v>43388</v>
      </c>
      <c r="C701" t="s">
        <v>92</v>
      </c>
      <c r="D701" s="40">
        <v>933</v>
      </c>
      <c r="F701">
        <v>531</v>
      </c>
      <c r="G701" s="41">
        <v>43344</v>
      </c>
      <c r="H701" t="str">
        <v>TX</v>
      </c>
      <c r="I701">
        <v>1523</v>
      </c>
    </row>
    <row r="702" spans="1:9" x14ac:dyDescent="0.25">
      <c r="A702">
        <v>355</v>
      </c>
      <c r="B702" s="5">
        <v>43311</v>
      </c>
      <c r="C702" t="s">
        <v>93</v>
      </c>
      <c r="D702" s="40">
        <v>1647</v>
      </c>
      <c r="F702">
        <v>865</v>
      </c>
      <c r="G702" s="41">
        <v>43412</v>
      </c>
      <c r="H702" t="str">
        <v>NY</v>
      </c>
      <c r="I702">
        <v>1784</v>
      </c>
    </row>
    <row r="703" spans="1:9" x14ac:dyDescent="0.25">
      <c r="A703">
        <v>741</v>
      </c>
      <c r="B703" s="5">
        <v>43386</v>
      </c>
      <c r="C703" t="s">
        <v>93</v>
      </c>
      <c r="D703" s="40">
        <v>1285</v>
      </c>
      <c r="F703">
        <v>267</v>
      </c>
      <c r="G703" s="41">
        <v>43296</v>
      </c>
      <c r="H703" t="str">
        <v>NY</v>
      </c>
      <c r="I703">
        <v>1048</v>
      </c>
    </row>
    <row r="704" spans="1:9" x14ac:dyDescent="0.25">
      <c r="A704">
        <v>557</v>
      </c>
      <c r="B704" s="5">
        <v>43348</v>
      </c>
      <c r="C704" t="s">
        <v>92</v>
      </c>
      <c r="D704" s="40">
        <v>1064</v>
      </c>
      <c r="F704">
        <v>971</v>
      </c>
      <c r="G704" s="41">
        <v>43430</v>
      </c>
      <c r="H704" t="str">
        <v>TX</v>
      </c>
      <c r="I704">
        <v>820</v>
      </c>
    </row>
    <row r="705" spans="1:9" x14ac:dyDescent="0.25">
      <c r="A705">
        <v>375</v>
      </c>
      <c r="B705" s="5">
        <v>43314</v>
      </c>
      <c r="C705" t="s">
        <v>94</v>
      </c>
      <c r="D705" s="40">
        <v>1507</v>
      </c>
      <c r="F705">
        <v>663</v>
      </c>
      <c r="G705" s="41">
        <v>43369</v>
      </c>
      <c r="H705" t="str">
        <v>NY</v>
      </c>
      <c r="I705">
        <v>1666</v>
      </c>
    </row>
    <row r="706" spans="1:9" x14ac:dyDescent="0.25">
      <c r="A706">
        <v>754</v>
      </c>
      <c r="B706" s="5">
        <v>43388</v>
      </c>
      <c r="C706" t="s">
        <v>92</v>
      </c>
      <c r="D706" s="40">
        <v>1239</v>
      </c>
      <c r="F706">
        <v>453</v>
      </c>
      <c r="G706" s="41">
        <v>43330</v>
      </c>
      <c r="H706" t="str">
        <v>NY</v>
      </c>
      <c r="I706">
        <v>898</v>
      </c>
    </row>
    <row r="707" spans="1:9" x14ac:dyDescent="0.25">
      <c r="A707">
        <v>244</v>
      </c>
      <c r="B707" s="5">
        <v>43292</v>
      </c>
      <c r="C707" t="s">
        <v>92</v>
      </c>
      <c r="D707" s="40">
        <v>1974</v>
      </c>
      <c r="F707">
        <v>698</v>
      </c>
      <c r="G707" s="41">
        <v>43379</v>
      </c>
      <c r="H707" t="str">
        <v>NY</v>
      </c>
      <c r="I707">
        <v>1517</v>
      </c>
    </row>
    <row r="708" spans="1:9" x14ac:dyDescent="0.25">
      <c r="A708">
        <v>410</v>
      </c>
      <c r="B708" s="5">
        <v>43322</v>
      </c>
      <c r="C708" t="s">
        <v>92</v>
      </c>
      <c r="D708" s="40">
        <v>1456</v>
      </c>
      <c r="F708">
        <v>963</v>
      </c>
      <c r="G708" s="41">
        <v>43428</v>
      </c>
      <c r="H708" t="str">
        <v>CA</v>
      </c>
      <c r="I708">
        <v>1907</v>
      </c>
    </row>
    <row r="709" spans="1:9" x14ac:dyDescent="0.25">
      <c r="A709">
        <v>661</v>
      </c>
      <c r="B709" s="5">
        <v>43368</v>
      </c>
      <c r="C709" t="s">
        <v>92</v>
      </c>
      <c r="D709" s="40">
        <v>1035</v>
      </c>
      <c r="F709">
        <v>723</v>
      </c>
      <c r="G709" s="41">
        <v>43384</v>
      </c>
      <c r="H709" t="str">
        <v>TX</v>
      </c>
      <c r="I709">
        <v>1798</v>
      </c>
    </row>
    <row r="710" spans="1:9" x14ac:dyDescent="0.25">
      <c r="A710">
        <v>600</v>
      </c>
      <c r="B710" s="5">
        <v>43356</v>
      </c>
      <c r="C710" t="s">
        <v>92</v>
      </c>
      <c r="D710" s="40">
        <v>1379</v>
      </c>
      <c r="F710">
        <v>636</v>
      </c>
      <c r="G710" s="41">
        <v>43365</v>
      </c>
      <c r="H710" t="str">
        <v>CA</v>
      </c>
      <c r="I710">
        <v>1061</v>
      </c>
    </row>
    <row r="711" spans="1:9" x14ac:dyDescent="0.25">
      <c r="A711">
        <v>457</v>
      </c>
      <c r="B711" s="5">
        <v>43330</v>
      </c>
      <c r="C711" t="s">
        <v>94</v>
      </c>
      <c r="D711" s="40">
        <v>876</v>
      </c>
      <c r="F711">
        <v>681</v>
      </c>
      <c r="G711" s="41">
        <v>43375</v>
      </c>
      <c r="H711" t="str">
        <v>CA</v>
      </c>
      <c r="I711">
        <v>1380</v>
      </c>
    </row>
    <row r="712" spans="1:9" x14ac:dyDescent="0.25">
      <c r="A712">
        <v>526</v>
      </c>
      <c r="B712" s="5">
        <v>43344</v>
      </c>
      <c r="C712" t="s">
        <v>92</v>
      </c>
      <c r="D712" s="40">
        <v>1712</v>
      </c>
      <c r="F712">
        <v>227</v>
      </c>
      <c r="G712" s="41">
        <v>43289</v>
      </c>
      <c r="H712" t="str">
        <v>CA</v>
      </c>
      <c r="I712">
        <v>1718</v>
      </c>
    </row>
    <row r="713" spans="1:9" x14ac:dyDescent="0.25">
      <c r="A713">
        <v>798</v>
      </c>
      <c r="B713" s="5">
        <v>43397</v>
      </c>
      <c r="C713" t="s">
        <v>92</v>
      </c>
      <c r="D713" s="40">
        <v>1777</v>
      </c>
      <c r="F713">
        <v>251</v>
      </c>
      <c r="G713" s="41">
        <v>43293</v>
      </c>
      <c r="H713" t="str">
        <v>CA</v>
      </c>
      <c r="I713">
        <v>1640</v>
      </c>
    </row>
    <row r="714" spans="1:9" x14ac:dyDescent="0.25">
      <c r="A714">
        <v>236</v>
      </c>
      <c r="B714" s="5">
        <v>43291</v>
      </c>
      <c r="C714" t="s">
        <v>93</v>
      </c>
      <c r="D714" s="40">
        <v>815</v>
      </c>
      <c r="F714">
        <v>468</v>
      </c>
      <c r="G714" s="41">
        <v>43332</v>
      </c>
      <c r="H714" t="str">
        <v>TX</v>
      </c>
      <c r="I714">
        <v>1664</v>
      </c>
    </row>
    <row r="715" spans="1:9" x14ac:dyDescent="0.25">
      <c r="A715">
        <v>789</v>
      </c>
      <c r="B715" s="5">
        <v>43395</v>
      </c>
      <c r="C715" t="s">
        <v>92</v>
      </c>
      <c r="D715" s="40">
        <v>1703</v>
      </c>
      <c r="F715">
        <v>755</v>
      </c>
      <c r="G715" s="41">
        <v>43389</v>
      </c>
      <c r="H715" t="str">
        <v>NY</v>
      </c>
      <c r="I715">
        <v>1175</v>
      </c>
    </row>
    <row r="716" spans="1:9" x14ac:dyDescent="0.25">
      <c r="A716">
        <v>314</v>
      </c>
      <c r="B716" s="5">
        <v>43303</v>
      </c>
      <c r="C716" t="s">
        <v>92</v>
      </c>
      <c r="D716" s="40">
        <v>731</v>
      </c>
      <c r="F716">
        <v>857</v>
      </c>
      <c r="G716" s="41">
        <v>43410</v>
      </c>
      <c r="H716" t="str">
        <v>TX</v>
      </c>
      <c r="I716">
        <v>1418</v>
      </c>
    </row>
    <row r="717" spans="1:9" x14ac:dyDescent="0.25">
      <c r="A717">
        <v>830</v>
      </c>
      <c r="B717" s="5">
        <v>43405</v>
      </c>
      <c r="C717" t="s">
        <v>94</v>
      </c>
      <c r="D717" s="40">
        <v>1565</v>
      </c>
      <c r="F717">
        <v>324</v>
      </c>
      <c r="G717" s="41">
        <v>43305</v>
      </c>
      <c r="H717" t="str">
        <v>TX</v>
      </c>
      <c r="I717">
        <v>667</v>
      </c>
    </row>
    <row r="718" spans="1:9" x14ac:dyDescent="0.25">
      <c r="A718">
        <v>191</v>
      </c>
      <c r="B718" s="5">
        <v>43283</v>
      </c>
      <c r="C718" t="s">
        <v>92</v>
      </c>
      <c r="D718" s="40">
        <v>1998</v>
      </c>
      <c r="F718">
        <v>709</v>
      </c>
      <c r="G718" s="41">
        <v>43382</v>
      </c>
      <c r="H718" t="str">
        <v>TX</v>
      </c>
      <c r="I718">
        <v>645</v>
      </c>
    </row>
    <row r="719" spans="1:9" x14ac:dyDescent="0.25">
      <c r="A719">
        <v>57</v>
      </c>
      <c r="B719" s="5">
        <v>43260</v>
      </c>
      <c r="C719" t="s">
        <v>92</v>
      </c>
      <c r="D719" s="40">
        <v>949</v>
      </c>
      <c r="F719">
        <v>352</v>
      </c>
      <c r="G719" s="41">
        <v>43311</v>
      </c>
      <c r="H719" t="str">
        <v>NY</v>
      </c>
      <c r="I719">
        <v>1855</v>
      </c>
    </row>
    <row r="720" spans="1:9" x14ac:dyDescent="0.25">
      <c r="A720">
        <v>74</v>
      </c>
      <c r="B720" s="5">
        <v>43264</v>
      </c>
      <c r="C720" t="s">
        <v>93</v>
      </c>
      <c r="D720" s="40">
        <v>878</v>
      </c>
      <c r="F720">
        <v>761</v>
      </c>
      <c r="G720" s="41">
        <v>43390</v>
      </c>
      <c r="H720" t="str">
        <v>CA</v>
      </c>
      <c r="I720">
        <v>1660</v>
      </c>
    </row>
    <row r="721" spans="1:9" x14ac:dyDescent="0.25">
      <c r="A721">
        <v>498</v>
      </c>
      <c r="B721" s="5">
        <v>43338</v>
      </c>
      <c r="C721" t="s">
        <v>92</v>
      </c>
      <c r="D721" s="40">
        <v>1597</v>
      </c>
      <c r="F721">
        <v>699</v>
      </c>
      <c r="G721" s="41">
        <v>43379</v>
      </c>
      <c r="H721" t="str">
        <v>CA</v>
      </c>
      <c r="I721">
        <v>589</v>
      </c>
    </row>
    <row r="722" spans="1:9" x14ac:dyDescent="0.25">
      <c r="A722">
        <v>648</v>
      </c>
      <c r="B722" s="5">
        <v>43367</v>
      </c>
      <c r="C722" t="s">
        <v>93</v>
      </c>
      <c r="D722" s="40">
        <v>1053</v>
      </c>
      <c r="F722">
        <v>405</v>
      </c>
      <c r="G722" s="41">
        <v>43321</v>
      </c>
      <c r="H722" t="str">
        <v>CA</v>
      </c>
      <c r="I722">
        <v>1386</v>
      </c>
    </row>
    <row r="723" spans="1:9" x14ac:dyDescent="0.25">
      <c r="A723">
        <v>141</v>
      </c>
      <c r="B723" s="5">
        <v>43274</v>
      </c>
      <c r="C723" t="s">
        <v>92</v>
      </c>
      <c r="D723" s="40">
        <v>1173</v>
      </c>
      <c r="F723">
        <v>420</v>
      </c>
      <c r="G723" s="41">
        <v>43323</v>
      </c>
      <c r="H723" t="str">
        <v>CA</v>
      </c>
      <c r="I723">
        <v>1862</v>
      </c>
    </row>
    <row r="724" spans="1:9" x14ac:dyDescent="0.25">
      <c r="A724">
        <v>842</v>
      </c>
      <c r="B724" s="5">
        <v>43408</v>
      </c>
      <c r="C724" t="s">
        <v>92</v>
      </c>
      <c r="D724" s="40">
        <v>681</v>
      </c>
      <c r="F724">
        <v>309</v>
      </c>
      <c r="G724" s="41">
        <v>43303</v>
      </c>
      <c r="H724" t="str">
        <v>CA</v>
      </c>
      <c r="I724">
        <v>1509</v>
      </c>
    </row>
    <row r="725" spans="1:9" x14ac:dyDescent="0.25">
      <c r="A725">
        <v>17</v>
      </c>
      <c r="B725" s="5">
        <v>43254</v>
      </c>
      <c r="C725" t="s">
        <v>93</v>
      </c>
      <c r="D725" s="40">
        <v>1233</v>
      </c>
      <c r="F725">
        <v>403</v>
      </c>
      <c r="G725" s="41">
        <v>43321</v>
      </c>
      <c r="H725" t="str">
        <v>NY</v>
      </c>
      <c r="I725">
        <v>1477</v>
      </c>
    </row>
    <row r="726" spans="1:9" x14ac:dyDescent="0.25">
      <c r="A726">
        <v>2</v>
      </c>
      <c r="B726" s="5">
        <v>43252</v>
      </c>
      <c r="C726" t="s">
        <v>92</v>
      </c>
      <c r="D726" s="40">
        <v>1828</v>
      </c>
      <c r="F726">
        <v>977</v>
      </c>
      <c r="G726" s="41">
        <v>43431</v>
      </c>
      <c r="H726" t="str">
        <v>NY</v>
      </c>
      <c r="I726">
        <v>1847</v>
      </c>
    </row>
    <row r="727" spans="1:9" x14ac:dyDescent="0.25">
      <c r="A727">
        <v>568</v>
      </c>
      <c r="B727" s="5">
        <v>43350</v>
      </c>
      <c r="C727" t="s">
        <v>94</v>
      </c>
      <c r="D727" s="40">
        <v>1968</v>
      </c>
      <c r="F727">
        <v>192</v>
      </c>
      <c r="G727" s="41">
        <v>43283</v>
      </c>
      <c r="H727" t="str">
        <v>NY</v>
      </c>
      <c r="I727">
        <v>1312</v>
      </c>
    </row>
    <row r="728" spans="1:9" x14ac:dyDescent="0.25">
      <c r="A728">
        <v>955</v>
      </c>
      <c r="B728" s="5">
        <v>43427</v>
      </c>
      <c r="C728" t="s">
        <v>92</v>
      </c>
      <c r="D728" s="40">
        <v>1132</v>
      </c>
      <c r="F728">
        <v>763</v>
      </c>
      <c r="G728" s="41">
        <v>43391</v>
      </c>
      <c r="H728" t="str">
        <v>TX</v>
      </c>
      <c r="I728">
        <v>1012</v>
      </c>
    </row>
    <row r="729" spans="1:9" x14ac:dyDescent="0.25">
      <c r="A729">
        <v>475</v>
      </c>
      <c r="B729" s="5">
        <v>43333</v>
      </c>
      <c r="C729" t="s">
        <v>92</v>
      </c>
      <c r="D729" s="40">
        <v>1409</v>
      </c>
      <c r="F729">
        <v>839</v>
      </c>
      <c r="G729" s="41">
        <v>43407</v>
      </c>
      <c r="H729" t="str">
        <v>NY</v>
      </c>
      <c r="I729">
        <v>1788</v>
      </c>
    </row>
    <row r="730" spans="1:9" x14ac:dyDescent="0.25">
      <c r="A730">
        <v>296</v>
      </c>
      <c r="B730" s="5">
        <v>43300</v>
      </c>
      <c r="C730" t="s">
        <v>93</v>
      </c>
      <c r="D730" s="40">
        <v>1695</v>
      </c>
      <c r="F730">
        <v>232</v>
      </c>
      <c r="G730" s="41">
        <v>43290</v>
      </c>
      <c r="H730" t="str">
        <v>NY</v>
      </c>
      <c r="I730">
        <v>1681</v>
      </c>
    </row>
    <row r="731" spans="1:9" x14ac:dyDescent="0.25">
      <c r="A731">
        <v>51</v>
      </c>
      <c r="B731" s="5">
        <v>43260</v>
      </c>
      <c r="C731" t="s">
        <v>93</v>
      </c>
      <c r="D731" s="40">
        <v>1533</v>
      </c>
      <c r="F731">
        <v>618</v>
      </c>
      <c r="G731" s="41">
        <v>43362</v>
      </c>
      <c r="H731" t="str">
        <v>TX</v>
      </c>
      <c r="I731">
        <v>1863</v>
      </c>
    </row>
    <row r="732" spans="1:9" x14ac:dyDescent="0.25">
      <c r="A732">
        <v>832</v>
      </c>
      <c r="B732" s="5">
        <v>43405</v>
      </c>
      <c r="C732" t="s">
        <v>93</v>
      </c>
      <c r="D732" s="40">
        <v>1990</v>
      </c>
      <c r="F732">
        <v>257</v>
      </c>
      <c r="G732" s="41">
        <v>43294</v>
      </c>
      <c r="H732" t="str">
        <v>CA</v>
      </c>
      <c r="I732">
        <v>682</v>
      </c>
    </row>
    <row r="733" spans="1:9" x14ac:dyDescent="0.25">
      <c r="A733">
        <v>379</v>
      </c>
      <c r="B733" s="5">
        <v>43315</v>
      </c>
      <c r="C733" t="s">
        <v>93</v>
      </c>
      <c r="D733" s="40">
        <v>1131</v>
      </c>
      <c r="F733">
        <v>433</v>
      </c>
      <c r="G733" s="41">
        <v>43327</v>
      </c>
      <c r="H733" t="str">
        <v>TX</v>
      </c>
      <c r="I733">
        <v>1445</v>
      </c>
    </row>
    <row r="734" spans="1:9" x14ac:dyDescent="0.25">
      <c r="A734">
        <v>101</v>
      </c>
      <c r="B734" s="5">
        <v>43268</v>
      </c>
      <c r="C734" t="s">
        <v>93</v>
      </c>
      <c r="D734" s="40">
        <v>708</v>
      </c>
      <c r="F734">
        <v>569</v>
      </c>
      <c r="G734" s="41">
        <v>43350</v>
      </c>
      <c r="H734" t="str">
        <v>CA</v>
      </c>
      <c r="I734">
        <v>1200</v>
      </c>
    </row>
    <row r="735" spans="1:9" x14ac:dyDescent="0.25">
      <c r="A735">
        <v>843</v>
      </c>
      <c r="B735" s="5">
        <v>43408</v>
      </c>
      <c r="C735" t="s">
        <v>92</v>
      </c>
      <c r="D735" s="40">
        <v>673</v>
      </c>
      <c r="F735">
        <v>400</v>
      </c>
      <c r="G735" s="41">
        <v>43320</v>
      </c>
      <c r="H735" t="str">
        <v>CA</v>
      </c>
      <c r="I735">
        <v>1259</v>
      </c>
    </row>
    <row r="736" spans="1:9" x14ac:dyDescent="0.25">
      <c r="A736">
        <v>756</v>
      </c>
      <c r="B736" s="5">
        <v>43389</v>
      </c>
      <c r="C736" t="s">
        <v>92</v>
      </c>
      <c r="D736" s="40">
        <v>1248</v>
      </c>
      <c r="F736">
        <v>428</v>
      </c>
      <c r="G736" s="41">
        <v>43325</v>
      </c>
      <c r="H736" t="str">
        <v>CA</v>
      </c>
      <c r="I736">
        <v>1257</v>
      </c>
    </row>
    <row r="737" spans="1:9" x14ac:dyDescent="0.25">
      <c r="A737">
        <v>563</v>
      </c>
      <c r="B737" s="5">
        <v>43349</v>
      </c>
      <c r="C737" t="s">
        <v>93</v>
      </c>
      <c r="D737" s="40">
        <v>1536</v>
      </c>
      <c r="F737">
        <v>545</v>
      </c>
      <c r="G737" s="41">
        <v>43346</v>
      </c>
      <c r="H737" t="str">
        <v>CA</v>
      </c>
      <c r="I737">
        <v>1729</v>
      </c>
    </row>
    <row r="738" spans="1:9" x14ac:dyDescent="0.25">
      <c r="A738">
        <v>943</v>
      </c>
      <c r="B738" s="5">
        <v>43424</v>
      </c>
      <c r="C738" t="s">
        <v>94</v>
      </c>
      <c r="D738" s="40">
        <v>1949</v>
      </c>
      <c r="F738">
        <v>805</v>
      </c>
      <c r="G738" s="41">
        <v>43399</v>
      </c>
      <c r="H738" t="str">
        <v>CA</v>
      </c>
      <c r="I738">
        <v>554</v>
      </c>
    </row>
    <row r="739" spans="1:9" x14ac:dyDescent="0.25">
      <c r="A739">
        <v>940</v>
      </c>
      <c r="B739" s="5">
        <v>43424</v>
      </c>
      <c r="C739" t="s">
        <v>93</v>
      </c>
      <c r="D739" s="40">
        <v>1641</v>
      </c>
      <c r="F739">
        <v>690</v>
      </c>
      <c r="G739" s="41">
        <v>43378</v>
      </c>
      <c r="H739" t="str">
        <v>NY</v>
      </c>
      <c r="I739">
        <v>779</v>
      </c>
    </row>
    <row r="740" spans="1:9" x14ac:dyDescent="0.25">
      <c r="A740">
        <v>81</v>
      </c>
      <c r="B740" s="5">
        <v>43265</v>
      </c>
      <c r="C740" t="s">
        <v>94</v>
      </c>
      <c r="D740" s="40">
        <v>1693</v>
      </c>
      <c r="F740">
        <v>434</v>
      </c>
      <c r="G740" s="41">
        <v>43327</v>
      </c>
      <c r="H740" t="str">
        <v>TX</v>
      </c>
      <c r="I740">
        <v>1091</v>
      </c>
    </row>
    <row r="741" spans="1:9" x14ac:dyDescent="0.25">
      <c r="A741">
        <v>595</v>
      </c>
      <c r="B741" s="5">
        <v>43356</v>
      </c>
      <c r="C741" t="s">
        <v>93</v>
      </c>
      <c r="D741" s="40">
        <v>1988</v>
      </c>
      <c r="F741">
        <v>575</v>
      </c>
      <c r="G741" s="41">
        <v>43351</v>
      </c>
      <c r="H741" t="str">
        <v>TX</v>
      </c>
      <c r="I741">
        <v>937</v>
      </c>
    </row>
    <row r="742" spans="1:9" x14ac:dyDescent="0.25">
      <c r="A742">
        <v>42</v>
      </c>
      <c r="B742" s="5">
        <v>43258</v>
      </c>
      <c r="C742" t="s">
        <v>92</v>
      </c>
      <c r="D742" s="40">
        <v>1869</v>
      </c>
      <c r="F742">
        <v>573</v>
      </c>
      <c r="G742" s="41">
        <v>43350</v>
      </c>
      <c r="H742" t="str">
        <v>TX</v>
      </c>
      <c r="I742">
        <v>1304</v>
      </c>
    </row>
    <row r="743" spans="1:9" x14ac:dyDescent="0.25">
      <c r="A743">
        <v>144</v>
      </c>
      <c r="B743" s="5">
        <v>43275</v>
      </c>
      <c r="C743" t="s">
        <v>93</v>
      </c>
      <c r="D743" s="40">
        <v>641</v>
      </c>
      <c r="F743">
        <v>782</v>
      </c>
      <c r="G743" s="41">
        <v>43393</v>
      </c>
      <c r="H743" t="str">
        <v>NY</v>
      </c>
      <c r="I743">
        <v>929</v>
      </c>
    </row>
    <row r="744" spans="1:9" x14ac:dyDescent="0.25">
      <c r="A744">
        <v>248</v>
      </c>
      <c r="B744" s="5">
        <v>43293</v>
      </c>
      <c r="C744" t="s">
        <v>93</v>
      </c>
      <c r="D744" s="40">
        <v>1214</v>
      </c>
      <c r="F744">
        <v>961</v>
      </c>
      <c r="G744" s="41">
        <v>43428</v>
      </c>
      <c r="H744" t="str">
        <v>TX</v>
      </c>
      <c r="I744">
        <v>1049</v>
      </c>
    </row>
    <row r="745" spans="1:9" x14ac:dyDescent="0.25">
      <c r="A745">
        <v>697</v>
      </c>
      <c r="B745" s="5">
        <v>43378</v>
      </c>
      <c r="C745" t="s">
        <v>92</v>
      </c>
      <c r="D745" s="40">
        <v>530</v>
      </c>
      <c r="F745">
        <v>407</v>
      </c>
      <c r="G745" s="41">
        <v>43322</v>
      </c>
      <c r="H745" t="str">
        <v>NY</v>
      </c>
      <c r="I745">
        <v>1815</v>
      </c>
    </row>
    <row r="746" spans="1:9" x14ac:dyDescent="0.25">
      <c r="A746">
        <v>369</v>
      </c>
      <c r="B746" s="5">
        <v>43313</v>
      </c>
      <c r="C746" t="s">
        <v>94</v>
      </c>
      <c r="D746" s="40">
        <v>1758</v>
      </c>
      <c r="F746">
        <v>766</v>
      </c>
      <c r="G746" s="41">
        <v>43392</v>
      </c>
      <c r="H746" t="str">
        <v>TX</v>
      </c>
      <c r="I746">
        <v>874</v>
      </c>
    </row>
    <row r="747" spans="1:9" x14ac:dyDescent="0.25">
      <c r="A747">
        <v>280</v>
      </c>
      <c r="B747" s="5">
        <v>43297</v>
      </c>
      <c r="C747" t="s">
        <v>92</v>
      </c>
      <c r="D747" s="40">
        <v>1268</v>
      </c>
      <c r="F747">
        <v>935</v>
      </c>
      <c r="G747" s="41">
        <v>43423</v>
      </c>
      <c r="H747" t="str">
        <v>CA</v>
      </c>
      <c r="I747">
        <v>1303</v>
      </c>
    </row>
    <row r="748" spans="1:9" x14ac:dyDescent="0.25">
      <c r="A748">
        <v>777</v>
      </c>
      <c r="B748" s="5">
        <v>43393</v>
      </c>
      <c r="C748" t="s">
        <v>94</v>
      </c>
      <c r="D748" s="40">
        <v>1720</v>
      </c>
      <c r="F748">
        <v>978</v>
      </c>
      <c r="G748" s="41">
        <v>43431</v>
      </c>
      <c r="H748" t="str">
        <v>TX</v>
      </c>
      <c r="I748">
        <v>1596</v>
      </c>
    </row>
    <row r="749" spans="1:9" x14ac:dyDescent="0.25">
      <c r="A749">
        <v>893</v>
      </c>
      <c r="B749" s="5">
        <v>43416</v>
      </c>
      <c r="C749" t="s">
        <v>93</v>
      </c>
      <c r="D749" s="40">
        <v>1121</v>
      </c>
      <c r="F749">
        <v>549</v>
      </c>
      <c r="G749" s="41">
        <v>43347</v>
      </c>
      <c r="H749" t="str">
        <v>NY</v>
      </c>
      <c r="I749">
        <v>653</v>
      </c>
    </row>
    <row r="750" spans="1:9" x14ac:dyDescent="0.25">
      <c r="A750">
        <v>13</v>
      </c>
      <c r="B750" s="5">
        <v>43254</v>
      </c>
      <c r="C750" t="s">
        <v>94</v>
      </c>
      <c r="D750" s="40">
        <v>534</v>
      </c>
      <c r="F750">
        <v>570</v>
      </c>
      <c r="G750" s="41">
        <v>43350</v>
      </c>
      <c r="H750" t="str">
        <v>TX</v>
      </c>
      <c r="I750">
        <v>1712</v>
      </c>
    </row>
    <row r="751" spans="1:9" x14ac:dyDescent="0.25">
      <c r="A751">
        <v>205</v>
      </c>
      <c r="B751" s="5">
        <v>43286</v>
      </c>
      <c r="C751" t="s">
        <v>94</v>
      </c>
      <c r="D751" s="40">
        <v>530</v>
      </c>
      <c r="F751">
        <v>388</v>
      </c>
      <c r="G751" s="41">
        <v>43317</v>
      </c>
      <c r="H751" t="str">
        <v>TX</v>
      </c>
      <c r="I751">
        <v>1065</v>
      </c>
    </row>
    <row r="752" spans="1:9" x14ac:dyDescent="0.25">
      <c r="A752">
        <v>513</v>
      </c>
      <c r="B752" s="5">
        <v>43340</v>
      </c>
      <c r="C752" t="s">
        <v>92</v>
      </c>
      <c r="D752" s="40">
        <v>1662</v>
      </c>
      <c r="F752">
        <v>432</v>
      </c>
      <c r="G752" s="41">
        <v>43326</v>
      </c>
      <c r="H752" t="str">
        <v>NY</v>
      </c>
      <c r="I752">
        <v>678</v>
      </c>
    </row>
    <row r="753" spans="1:9" x14ac:dyDescent="0.25">
      <c r="A753">
        <v>90</v>
      </c>
      <c r="B753" s="5">
        <v>43266</v>
      </c>
      <c r="C753" t="s">
        <v>92</v>
      </c>
      <c r="D753" s="40">
        <v>684</v>
      </c>
      <c r="F753">
        <v>851</v>
      </c>
      <c r="G753" s="41">
        <v>43409</v>
      </c>
      <c r="H753" t="str">
        <v>CA</v>
      </c>
      <c r="I753">
        <v>1053</v>
      </c>
    </row>
    <row r="754" spans="1:9" x14ac:dyDescent="0.25">
      <c r="A754">
        <v>804</v>
      </c>
      <c r="B754" s="5">
        <v>43399</v>
      </c>
      <c r="C754" t="s">
        <v>93</v>
      </c>
      <c r="D754" s="40">
        <v>771</v>
      </c>
      <c r="F754">
        <v>896</v>
      </c>
      <c r="G754" s="41">
        <v>43417</v>
      </c>
      <c r="H754" t="str">
        <v>CA</v>
      </c>
      <c r="I754">
        <v>1940</v>
      </c>
    </row>
    <row r="755" spans="1:9" x14ac:dyDescent="0.25">
      <c r="A755">
        <v>440</v>
      </c>
      <c r="B755" s="5">
        <v>43328</v>
      </c>
      <c r="C755" t="s">
        <v>93</v>
      </c>
      <c r="D755" s="40">
        <v>1057</v>
      </c>
      <c r="F755">
        <v>891</v>
      </c>
      <c r="G755" s="41">
        <v>43416</v>
      </c>
      <c r="H755" t="str">
        <v>CA</v>
      </c>
      <c r="I755">
        <v>1884</v>
      </c>
    </row>
    <row r="756" spans="1:9" x14ac:dyDescent="0.25">
      <c r="A756">
        <v>665</v>
      </c>
      <c r="B756" s="5">
        <v>43369</v>
      </c>
      <c r="C756" t="s">
        <v>94</v>
      </c>
      <c r="D756" s="40">
        <v>1247</v>
      </c>
      <c r="F756">
        <v>320</v>
      </c>
      <c r="G756" s="41">
        <v>43304</v>
      </c>
      <c r="H756" t="str">
        <v>CA</v>
      </c>
      <c r="I756">
        <v>1697</v>
      </c>
    </row>
    <row r="757" spans="1:9" x14ac:dyDescent="0.25">
      <c r="A757">
        <v>635</v>
      </c>
      <c r="B757" s="5">
        <v>43365</v>
      </c>
      <c r="C757" t="s">
        <v>93</v>
      </c>
      <c r="D757" s="40">
        <v>1228</v>
      </c>
      <c r="F757">
        <v>467</v>
      </c>
      <c r="G757" s="41">
        <v>43332</v>
      </c>
      <c r="H757" t="str">
        <v>NY</v>
      </c>
      <c r="I757">
        <v>1656</v>
      </c>
    </row>
    <row r="758" spans="1:9" x14ac:dyDescent="0.25">
      <c r="A758">
        <v>377</v>
      </c>
      <c r="B758" s="5">
        <v>43314</v>
      </c>
      <c r="C758" t="s">
        <v>92</v>
      </c>
      <c r="D758" s="40">
        <v>1284</v>
      </c>
      <c r="F758">
        <v>808</v>
      </c>
      <c r="G758" s="41">
        <v>43400</v>
      </c>
      <c r="H758" t="str">
        <v>CA</v>
      </c>
      <c r="I758">
        <v>1124</v>
      </c>
    </row>
    <row r="759" spans="1:9" x14ac:dyDescent="0.25">
      <c r="A759">
        <v>719</v>
      </c>
      <c r="B759" s="5">
        <v>43384</v>
      </c>
      <c r="C759" t="s">
        <v>93</v>
      </c>
      <c r="D759" s="40">
        <v>1506</v>
      </c>
      <c r="F759">
        <v>825</v>
      </c>
      <c r="G759" s="41">
        <v>43404</v>
      </c>
      <c r="H759" t="str">
        <v>NY</v>
      </c>
      <c r="I759">
        <v>1983</v>
      </c>
    </row>
    <row r="760" spans="1:9" x14ac:dyDescent="0.25">
      <c r="A760">
        <v>239</v>
      </c>
      <c r="B760" s="5">
        <v>43291</v>
      </c>
      <c r="C760" t="s">
        <v>94</v>
      </c>
      <c r="D760" s="40">
        <v>1874</v>
      </c>
      <c r="F760">
        <v>200</v>
      </c>
      <c r="G760" s="41">
        <v>43285</v>
      </c>
      <c r="H760" t="str">
        <v>NY</v>
      </c>
      <c r="I760">
        <v>807</v>
      </c>
    </row>
    <row r="761" spans="1:9" x14ac:dyDescent="0.25">
      <c r="A761">
        <v>217</v>
      </c>
      <c r="B761" s="5">
        <v>43287</v>
      </c>
      <c r="C761" t="s">
        <v>92</v>
      </c>
      <c r="D761" s="40">
        <v>1750</v>
      </c>
      <c r="F761">
        <v>233</v>
      </c>
      <c r="G761" s="41">
        <v>43290</v>
      </c>
      <c r="H761" t="str">
        <v>TX</v>
      </c>
      <c r="I761">
        <v>740</v>
      </c>
    </row>
    <row r="762" spans="1:9" x14ac:dyDescent="0.25">
      <c r="A762">
        <v>675</v>
      </c>
      <c r="B762" s="5">
        <v>43373</v>
      </c>
      <c r="C762" t="s">
        <v>92</v>
      </c>
      <c r="D762" s="40">
        <v>1842</v>
      </c>
      <c r="F762">
        <v>838</v>
      </c>
      <c r="G762" s="41">
        <v>43407</v>
      </c>
      <c r="H762" t="str">
        <v>NY</v>
      </c>
      <c r="I762">
        <v>828</v>
      </c>
    </row>
    <row r="763" spans="1:9" x14ac:dyDescent="0.25">
      <c r="A763">
        <v>527</v>
      </c>
      <c r="B763" s="5">
        <v>43344</v>
      </c>
      <c r="C763" t="s">
        <v>94</v>
      </c>
      <c r="D763" s="40">
        <v>668</v>
      </c>
      <c r="F763">
        <v>550</v>
      </c>
      <c r="G763" s="41">
        <v>43347</v>
      </c>
      <c r="H763" t="str">
        <v>CA</v>
      </c>
      <c r="I763">
        <v>928</v>
      </c>
    </row>
    <row r="764" spans="1:9" x14ac:dyDescent="0.25">
      <c r="A764">
        <v>536</v>
      </c>
      <c r="B764" s="5">
        <v>43345</v>
      </c>
      <c r="C764" t="s">
        <v>93</v>
      </c>
      <c r="D764" s="40">
        <v>1567</v>
      </c>
      <c r="F764">
        <v>856</v>
      </c>
      <c r="G764" s="41">
        <v>43410</v>
      </c>
      <c r="H764" t="str">
        <v>CA</v>
      </c>
      <c r="I764">
        <v>998</v>
      </c>
    </row>
    <row r="765" spans="1:9" x14ac:dyDescent="0.25">
      <c r="A765">
        <v>882</v>
      </c>
      <c r="B765" s="5">
        <v>43415</v>
      </c>
      <c r="C765" t="s">
        <v>92</v>
      </c>
      <c r="D765" s="40">
        <v>1855</v>
      </c>
      <c r="F765">
        <v>886</v>
      </c>
      <c r="G765" s="41">
        <v>43415</v>
      </c>
      <c r="H765" t="str">
        <v>CA</v>
      </c>
      <c r="I765">
        <v>1249</v>
      </c>
    </row>
    <row r="766" spans="1:9" x14ac:dyDescent="0.25">
      <c r="A766">
        <v>209</v>
      </c>
      <c r="B766" s="5">
        <v>43286</v>
      </c>
      <c r="C766" t="s">
        <v>94</v>
      </c>
      <c r="D766" s="40">
        <v>1390</v>
      </c>
      <c r="F766">
        <v>991</v>
      </c>
      <c r="G766" s="41">
        <v>43433</v>
      </c>
      <c r="H766" t="str">
        <v>CA</v>
      </c>
      <c r="I766">
        <v>882</v>
      </c>
    </row>
    <row r="767" spans="1:9" x14ac:dyDescent="0.25">
      <c r="A767">
        <v>807</v>
      </c>
      <c r="B767" s="5">
        <v>43400</v>
      </c>
      <c r="C767" t="s">
        <v>94</v>
      </c>
      <c r="D767" s="40">
        <v>1539</v>
      </c>
      <c r="F767">
        <v>715</v>
      </c>
      <c r="G767" s="41">
        <v>43383</v>
      </c>
      <c r="H767" t="str">
        <v>TX</v>
      </c>
      <c r="I767">
        <v>1495</v>
      </c>
    </row>
    <row r="768" spans="1:9" x14ac:dyDescent="0.25">
      <c r="A768">
        <v>381</v>
      </c>
      <c r="B768" s="5">
        <v>43315</v>
      </c>
      <c r="C768" t="s">
        <v>92</v>
      </c>
      <c r="D768" s="40">
        <v>1454</v>
      </c>
      <c r="F768">
        <v>435</v>
      </c>
      <c r="G768" s="41">
        <v>43327</v>
      </c>
      <c r="H768" t="str">
        <v>CA</v>
      </c>
      <c r="I768">
        <v>1908</v>
      </c>
    </row>
    <row r="769" spans="1:9" x14ac:dyDescent="0.25">
      <c r="A769">
        <v>493</v>
      </c>
      <c r="B769" s="5">
        <v>43336</v>
      </c>
      <c r="C769" t="s">
        <v>92</v>
      </c>
      <c r="D769" s="40">
        <v>746</v>
      </c>
      <c r="F769">
        <v>783</v>
      </c>
      <c r="G769" s="41">
        <v>43394</v>
      </c>
      <c r="H769" t="str">
        <v>TX</v>
      </c>
      <c r="I769">
        <v>1215</v>
      </c>
    </row>
    <row r="770" spans="1:9" x14ac:dyDescent="0.25">
      <c r="A770">
        <v>32</v>
      </c>
      <c r="B770" s="5">
        <v>43256</v>
      </c>
      <c r="C770" t="s">
        <v>92</v>
      </c>
      <c r="D770" s="40">
        <v>1745</v>
      </c>
      <c r="F770">
        <v>261</v>
      </c>
      <c r="G770" s="41">
        <v>43295</v>
      </c>
      <c r="H770" t="str">
        <v>TX</v>
      </c>
      <c r="I770">
        <v>565</v>
      </c>
    </row>
    <row r="771" spans="1:9" x14ac:dyDescent="0.25">
      <c r="A771">
        <v>250</v>
      </c>
      <c r="B771" s="5">
        <v>43293</v>
      </c>
      <c r="C771" t="s">
        <v>93</v>
      </c>
      <c r="D771" s="40">
        <v>1250</v>
      </c>
      <c r="F771">
        <v>241</v>
      </c>
      <c r="G771" s="41">
        <v>43292</v>
      </c>
      <c r="H771" t="str">
        <v>TX</v>
      </c>
      <c r="I771">
        <v>725</v>
      </c>
    </row>
    <row r="772" spans="1:9" x14ac:dyDescent="0.25">
      <c r="A772">
        <v>4</v>
      </c>
      <c r="B772" s="5">
        <v>43252</v>
      </c>
      <c r="C772" t="s">
        <v>93</v>
      </c>
      <c r="D772" s="40">
        <v>552</v>
      </c>
      <c r="F772">
        <v>277</v>
      </c>
      <c r="G772" s="41">
        <v>43297</v>
      </c>
      <c r="H772" t="str">
        <v>CA</v>
      </c>
      <c r="I772">
        <v>593</v>
      </c>
    </row>
    <row r="773" spans="1:9" x14ac:dyDescent="0.25">
      <c r="A773">
        <v>317</v>
      </c>
      <c r="B773" s="5">
        <v>43304</v>
      </c>
      <c r="C773" t="s">
        <v>94</v>
      </c>
      <c r="D773" s="40">
        <v>1920</v>
      </c>
      <c r="F773">
        <v>627</v>
      </c>
      <c r="G773" s="41">
        <v>43364</v>
      </c>
      <c r="H773" t="str">
        <v>TX</v>
      </c>
      <c r="I773">
        <v>1517</v>
      </c>
    </row>
    <row r="774" spans="1:9" x14ac:dyDescent="0.25">
      <c r="A774">
        <v>528</v>
      </c>
      <c r="B774" s="5">
        <v>43344</v>
      </c>
      <c r="C774" t="s">
        <v>93</v>
      </c>
      <c r="D774" s="40">
        <v>1635</v>
      </c>
      <c r="F774">
        <v>785</v>
      </c>
      <c r="G774" s="41">
        <v>43395</v>
      </c>
      <c r="H774" t="str">
        <v>TX</v>
      </c>
      <c r="I774">
        <v>1041</v>
      </c>
    </row>
    <row r="775" spans="1:9" x14ac:dyDescent="0.25">
      <c r="A775">
        <v>746</v>
      </c>
      <c r="B775" s="5">
        <v>43387</v>
      </c>
      <c r="C775" t="s">
        <v>93</v>
      </c>
      <c r="D775" s="40">
        <v>1269</v>
      </c>
      <c r="F775">
        <v>949</v>
      </c>
      <c r="G775" s="41">
        <v>43426</v>
      </c>
      <c r="H775" t="str">
        <v>CA</v>
      </c>
      <c r="I775">
        <v>1777</v>
      </c>
    </row>
    <row r="776" spans="1:9" x14ac:dyDescent="0.25">
      <c r="A776">
        <v>641</v>
      </c>
      <c r="B776" s="5">
        <v>43366</v>
      </c>
      <c r="C776" t="s">
        <v>92</v>
      </c>
      <c r="D776" s="40">
        <v>1513</v>
      </c>
      <c r="F776">
        <v>992</v>
      </c>
      <c r="G776" s="41">
        <v>43434</v>
      </c>
      <c r="H776" t="str">
        <v>CA</v>
      </c>
      <c r="I776">
        <v>755</v>
      </c>
    </row>
    <row r="777" spans="1:9" x14ac:dyDescent="0.25">
      <c r="A777">
        <v>340</v>
      </c>
      <c r="B777" s="5">
        <v>43308</v>
      </c>
      <c r="C777" t="s">
        <v>94</v>
      </c>
      <c r="D777" s="40">
        <v>1014</v>
      </c>
      <c r="F777">
        <v>773</v>
      </c>
      <c r="G777" s="41">
        <v>43392</v>
      </c>
      <c r="H777" t="str">
        <v>CA</v>
      </c>
      <c r="I777">
        <v>1356</v>
      </c>
    </row>
    <row r="778" spans="1:9" x14ac:dyDescent="0.25">
      <c r="A778">
        <v>855</v>
      </c>
      <c r="B778" s="5">
        <v>43410</v>
      </c>
      <c r="C778" t="s">
        <v>93</v>
      </c>
      <c r="D778" s="40">
        <v>922</v>
      </c>
      <c r="F778">
        <v>713</v>
      </c>
      <c r="G778" s="41">
        <v>43383</v>
      </c>
      <c r="H778" t="str">
        <v>CA</v>
      </c>
      <c r="I778">
        <v>1788</v>
      </c>
    </row>
    <row r="779" spans="1:9" x14ac:dyDescent="0.25">
      <c r="A779">
        <v>19</v>
      </c>
      <c r="B779" s="5">
        <v>43254</v>
      </c>
      <c r="C779" t="s">
        <v>93</v>
      </c>
      <c r="D779" s="40">
        <v>1111</v>
      </c>
      <c r="F779">
        <v>760</v>
      </c>
      <c r="G779" s="41">
        <v>43390</v>
      </c>
      <c r="H779" t="str">
        <v>CA</v>
      </c>
      <c r="I779">
        <v>1014</v>
      </c>
    </row>
    <row r="780" spans="1:9" x14ac:dyDescent="0.25">
      <c r="A780">
        <v>409</v>
      </c>
      <c r="B780" s="5">
        <v>43322</v>
      </c>
      <c r="C780" t="s">
        <v>92</v>
      </c>
      <c r="D780" s="40">
        <v>988</v>
      </c>
      <c r="F780">
        <v>423</v>
      </c>
      <c r="G780" s="41">
        <v>43324</v>
      </c>
      <c r="H780" t="str">
        <v>TX</v>
      </c>
      <c r="I780">
        <v>673</v>
      </c>
    </row>
    <row r="781" spans="1:9" x14ac:dyDescent="0.25">
      <c r="A781">
        <v>555</v>
      </c>
      <c r="B781" s="5">
        <v>43348</v>
      </c>
      <c r="C781" t="s">
        <v>94</v>
      </c>
      <c r="D781" s="40">
        <v>1726</v>
      </c>
      <c r="F781">
        <v>608</v>
      </c>
      <c r="G781" s="41">
        <v>43358</v>
      </c>
      <c r="H781" t="str">
        <v>NY</v>
      </c>
      <c r="I781">
        <v>1116</v>
      </c>
    </row>
    <row r="782" spans="1:9" x14ac:dyDescent="0.25">
      <c r="A782">
        <v>567</v>
      </c>
      <c r="B782" s="5">
        <v>43350</v>
      </c>
      <c r="C782" t="s">
        <v>93</v>
      </c>
      <c r="D782" s="40">
        <v>637</v>
      </c>
      <c r="F782">
        <v>585</v>
      </c>
      <c r="G782" s="41">
        <v>43354</v>
      </c>
      <c r="H782" t="str">
        <v>NY</v>
      </c>
      <c r="I782">
        <v>565</v>
      </c>
    </row>
    <row r="783" spans="1:9" x14ac:dyDescent="0.25">
      <c r="A783">
        <v>164</v>
      </c>
      <c r="B783" s="5">
        <v>43278</v>
      </c>
      <c r="C783" t="s">
        <v>92</v>
      </c>
      <c r="D783" s="40">
        <v>1108</v>
      </c>
      <c r="F783">
        <v>748</v>
      </c>
      <c r="G783" s="41">
        <v>43388</v>
      </c>
      <c r="H783" t="str">
        <v>TX</v>
      </c>
      <c r="I783">
        <v>1686</v>
      </c>
    </row>
    <row r="784" spans="1:9" x14ac:dyDescent="0.25">
      <c r="A784">
        <v>598</v>
      </c>
      <c r="B784" s="5">
        <v>43356</v>
      </c>
      <c r="C784" t="s">
        <v>94</v>
      </c>
      <c r="D784" s="40">
        <v>898</v>
      </c>
      <c r="F784">
        <v>485</v>
      </c>
      <c r="G784" s="41">
        <v>43334</v>
      </c>
      <c r="H784" t="str">
        <v>TX</v>
      </c>
      <c r="I784">
        <v>983</v>
      </c>
    </row>
    <row r="785" spans="1:9" x14ac:dyDescent="0.25">
      <c r="A785">
        <v>560</v>
      </c>
      <c r="B785" s="5">
        <v>43348</v>
      </c>
      <c r="C785" t="s">
        <v>93</v>
      </c>
      <c r="D785" s="40">
        <v>1712</v>
      </c>
      <c r="F785">
        <v>344</v>
      </c>
      <c r="G785" s="41">
        <v>43309</v>
      </c>
      <c r="H785" t="str">
        <v>CA</v>
      </c>
      <c r="I785">
        <v>1553</v>
      </c>
    </row>
    <row r="786" spans="1:9" x14ac:dyDescent="0.25">
      <c r="A786">
        <v>556</v>
      </c>
      <c r="B786" s="5">
        <v>43348</v>
      </c>
      <c r="C786" t="s">
        <v>94</v>
      </c>
      <c r="D786" s="40">
        <v>1441</v>
      </c>
      <c r="F786">
        <v>322</v>
      </c>
      <c r="G786" s="41">
        <v>43304</v>
      </c>
      <c r="H786" t="str">
        <v>TX</v>
      </c>
      <c r="I786">
        <v>1397</v>
      </c>
    </row>
    <row r="787" spans="1:9" x14ac:dyDescent="0.25">
      <c r="A787">
        <v>169</v>
      </c>
      <c r="B787" s="5">
        <v>43279</v>
      </c>
      <c r="C787" t="s">
        <v>93</v>
      </c>
      <c r="D787" s="40">
        <v>1213</v>
      </c>
      <c r="F787">
        <v>908</v>
      </c>
      <c r="G787" s="41">
        <v>43419</v>
      </c>
      <c r="H787" t="str">
        <v>CA</v>
      </c>
      <c r="I787">
        <v>1964</v>
      </c>
    </row>
    <row r="788" spans="1:9" x14ac:dyDescent="0.25">
      <c r="A788">
        <v>679</v>
      </c>
      <c r="B788" s="5">
        <v>43373</v>
      </c>
      <c r="C788" t="s">
        <v>93</v>
      </c>
      <c r="D788" s="40">
        <v>752</v>
      </c>
      <c r="F788">
        <v>469</v>
      </c>
      <c r="G788" s="41">
        <v>43332</v>
      </c>
      <c r="H788" t="str">
        <v>NY</v>
      </c>
      <c r="I788">
        <v>1985</v>
      </c>
    </row>
    <row r="789" spans="1:9" x14ac:dyDescent="0.25">
      <c r="A789">
        <v>458</v>
      </c>
      <c r="B789" s="5">
        <v>43331</v>
      </c>
      <c r="C789" t="s">
        <v>92</v>
      </c>
      <c r="D789" s="40">
        <v>1575</v>
      </c>
      <c r="F789">
        <v>473</v>
      </c>
      <c r="G789" s="41">
        <v>43333</v>
      </c>
      <c r="H789" t="str">
        <v>TX</v>
      </c>
      <c r="I789">
        <v>1374</v>
      </c>
    </row>
    <row r="790" spans="1:9" x14ac:dyDescent="0.25">
      <c r="A790">
        <v>9</v>
      </c>
      <c r="B790" s="5">
        <v>43253</v>
      </c>
      <c r="C790" t="s">
        <v>94</v>
      </c>
      <c r="D790" s="40">
        <v>1654</v>
      </c>
      <c r="F790">
        <v>717</v>
      </c>
      <c r="G790" s="41">
        <v>43383</v>
      </c>
      <c r="H790" t="str">
        <v>NY</v>
      </c>
      <c r="I790">
        <v>645</v>
      </c>
    </row>
    <row r="791" spans="1:9" x14ac:dyDescent="0.25">
      <c r="A791">
        <v>817</v>
      </c>
      <c r="B791" s="5">
        <v>43402</v>
      </c>
      <c r="C791" t="s">
        <v>92</v>
      </c>
      <c r="D791" s="40">
        <v>1212</v>
      </c>
      <c r="F791">
        <v>274</v>
      </c>
      <c r="G791" s="41">
        <v>43296</v>
      </c>
      <c r="H791" t="str">
        <v>NY</v>
      </c>
      <c r="I791">
        <v>1150</v>
      </c>
    </row>
    <row r="792" spans="1:9" x14ac:dyDescent="0.25">
      <c r="A792">
        <v>837</v>
      </c>
      <c r="B792" s="5">
        <v>43407</v>
      </c>
      <c r="C792" t="s">
        <v>92</v>
      </c>
      <c r="D792" s="40">
        <v>701</v>
      </c>
      <c r="F792">
        <v>492</v>
      </c>
      <c r="G792" s="41">
        <v>43336</v>
      </c>
      <c r="H792" t="str">
        <v>CA</v>
      </c>
      <c r="I792">
        <v>1859</v>
      </c>
    </row>
    <row r="793" spans="1:9" x14ac:dyDescent="0.25">
      <c r="A793">
        <v>623</v>
      </c>
      <c r="B793" s="5">
        <v>43364</v>
      </c>
      <c r="C793" t="s">
        <v>94</v>
      </c>
      <c r="D793" s="40">
        <v>1001</v>
      </c>
      <c r="F793">
        <v>387</v>
      </c>
      <c r="G793" s="41">
        <v>43317</v>
      </c>
      <c r="H793" t="str">
        <v>CA</v>
      </c>
      <c r="I793">
        <v>1605</v>
      </c>
    </row>
    <row r="794" spans="1:9" x14ac:dyDescent="0.25">
      <c r="A794">
        <v>956</v>
      </c>
      <c r="B794" s="5">
        <v>43427</v>
      </c>
      <c r="C794" t="s">
        <v>94</v>
      </c>
      <c r="D794" s="40">
        <v>1000</v>
      </c>
      <c r="F794">
        <v>454</v>
      </c>
      <c r="G794" s="41">
        <v>43330</v>
      </c>
      <c r="H794" t="str">
        <v>NY</v>
      </c>
      <c r="I794">
        <v>1822</v>
      </c>
    </row>
    <row r="795" spans="1:9" x14ac:dyDescent="0.25">
      <c r="A795">
        <v>354</v>
      </c>
      <c r="B795" s="5">
        <v>43311</v>
      </c>
      <c r="C795" t="s">
        <v>94</v>
      </c>
      <c r="D795" s="40">
        <v>583</v>
      </c>
      <c r="F795">
        <v>502</v>
      </c>
      <c r="G795" s="41">
        <v>43339</v>
      </c>
      <c r="H795" t="str">
        <v>TX</v>
      </c>
      <c r="I795">
        <v>732</v>
      </c>
    </row>
    <row r="796" spans="1:9" x14ac:dyDescent="0.25">
      <c r="A796">
        <v>695</v>
      </c>
      <c r="B796" s="5">
        <v>43378</v>
      </c>
      <c r="C796" t="s">
        <v>94</v>
      </c>
      <c r="D796" s="40">
        <v>1888</v>
      </c>
      <c r="F796">
        <v>599</v>
      </c>
      <c r="G796" s="41">
        <v>43356</v>
      </c>
      <c r="H796" t="str">
        <v>CA</v>
      </c>
      <c r="I796">
        <v>1472</v>
      </c>
    </row>
    <row r="797" spans="1:9" x14ac:dyDescent="0.25">
      <c r="A797">
        <v>416</v>
      </c>
      <c r="B797" s="5">
        <v>43323</v>
      </c>
      <c r="C797" t="s">
        <v>93</v>
      </c>
      <c r="D797" s="40">
        <v>863</v>
      </c>
      <c r="F797">
        <v>901</v>
      </c>
      <c r="G797" s="41">
        <v>43418</v>
      </c>
      <c r="H797" t="str">
        <v>CA</v>
      </c>
      <c r="I797">
        <v>1226</v>
      </c>
    </row>
    <row r="798" spans="1:9" x14ac:dyDescent="0.25">
      <c r="A798">
        <v>330</v>
      </c>
      <c r="B798" s="5">
        <v>43306</v>
      </c>
      <c r="C798" t="s">
        <v>94</v>
      </c>
      <c r="D798" s="40">
        <v>899</v>
      </c>
      <c r="F798">
        <v>818</v>
      </c>
      <c r="G798" s="41">
        <v>43402</v>
      </c>
      <c r="H798" t="str">
        <v>NY</v>
      </c>
      <c r="I798">
        <v>1330</v>
      </c>
    </row>
    <row r="799" spans="1:9" x14ac:dyDescent="0.25">
      <c r="A799">
        <v>868</v>
      </c>
      <c r="B799" s="5">
        <v>43412</v>
      </c>
      <c r="C799" t="s">
        <v>94</v>
      </c>
      <c r="D799" s="40">
        <v>515</v>
      </c>
      <c r="F799">
        <v>849</v>
      </c>
      <c r="G799" s="41">
        <v>43409</v>
      </c>
      <c r="H799" t="str">
        <v>TX</v>
      </c>
      <c r="I799">
        <v>1261</v>
      </c>
    </row>
    <row r="800" spans="1:9" x14ac:dyDescent="0.25">
      <c r="A800">
        <v>869</v>
      </c>
      <c r="B800" s="5">
        <v>43412</v>
      </c>
      <c r="C800" t="s">
        <v>92</v>
      </c>
      <c r="D800" s="40">
        <v>797</v>
      </c>
      <c r="F800">
        <v>326</v>
      </c>
      <c r="G800" s="41">
        <v>43305</v>
      </c>
      <c r="H800" t="str">
        <v>NY</v>
      </c>
      <c r="I800">
        <v>1980</v>
      </c>
    </row>
    <row r="801" spans="1:9" x14ac:dyDescent="0.25">
      <c r="A801">
        <v>163</v>
      </c>
      <c r="B801" s="5">
        <v>43278</v>
      </c>
      <c r="C801" t="s">
        <v>92</v>
      </c>
      <c r="D801" s="40">
        <v>1952</v>
      </c>
      <c r="F801">
        <v>767</v>
      </c>
      <c r="G801" s="41">
        <v>43392</v>
      </c>
      <c r="H801" t="str">
        <v>TX</v>
      </c>
      <c r="I801">
        <v>1072</v>
      </c>
    </row>
    <row r="802" spans="1:9" x14ac:dyDescent="0.25">
      <c r="A802">
        <v>336</v>
      </c>
      <c r="B802" s="5">
        <v>43307</v>
      </c>
      <c r="C802" t="s">
        <v>93</v>
      </c>
      <c r="D802" s="40">
        <v>1327</v>
      </c>
      <c r="F802">
        <v>489</v>
      </c>
      <c r="G802" s="41">
        <v>43335</v>
      </c>
      <c r="H802" t="str">
        <v>TX</v>
      </c>
      <c r="I802">
        <v>1465</v>
      </c>
    </row>
    <row r="803" spans="1:9" x14ac:dyDescent="0.25">
      <c r="A803">
        <v>33</v>
      </c>
      <c r="B803" s="5">
        <v>43256</v>
      </c>
      <c r="C803" t="s">
        <v>93</v>
      </c>
      <c r="D803" s="40">
        <v>1908</v>
      </c>
      <c r="F803">
        <v>463</v>
      </c>
      <c r="G803" s="41">
        <v>43332</v>
      </c>
      <c r="H803" t="str">
        <v>NY</v>
      </c>
      <c r="I803">
        <v>924</v>
      </c>
    </row>
    <row r="804" spans="1:9" x14ac:dyDescent="0.25">
      <c r="A804">
        <v>132</v>
      </c>
      <c r="B804" s="5">
        <v>43273</v>
      </c>
      <c r="C804" t="s">
        <v>93</v>
      </c>
      <c r="D804" s="40">
        <v>1076</v>
      </c>
      <c r="F804">
        <v>831</v>
      </c>
      <c r="G804" s="41">
        <v>43405</v>
      </c>
      <c r="H804" t="str">
        <v>CA</v>
      </c>
      <c r="I804">
        <v>1035</v>
      </c>
    </row>
    <row r="805" spans="1:9" x14ac:dyDescent="0.25">
      <c r="A805">
        <v>884</v>
      </c>
      <c r="B805" s="5">
        <v>43415</v>
      </c>
      <c r="C805" t="s">
        <v>93</v>
      </c>
      <c r="D805" s="40">
        <v>1691</v>
      </c>
      <c r="F805">
        <v>188</v>
      </c>
      <c r="G805" s="41">
        <v>43283</v>
      </c>
      <c r="H805" t="str">
        <v>CA</v>
      </c>
      <c r="I805">
        <v>1279</v>
      </c>
    </row>
    <row r="806" spans="1:9" x14ac:dyDescent="0.25">
      <c r="A806">
        <v>958</v>
      </c>
      <c r="B806" s="5">
        <v>43427</v>
      </c>
      <c r="C806" t="s">
        <v>93</v>
      </c>
      <c r="D806" s="40">
        <v>649</v>
      </c>
      <c r="F806">
        <v>948</v>
      </c>
      <c r="G806" s="41">
        <v>43426</v>
      </c>
      <c r="H806" t="str">
        <v>CA</v>
      </c>
      <c r="I806">
        <v>776</v>
      </c>
    </row>
    <row r="807" spans="1:9" x14ac:dyDescent="0.25">
      <c r="A807">
        <v>999</v>
      </c>
      <c r="B807" s="5">
        <v>43434</v>
      </c>
      <c r="C807" t="s">
        <v>92</v>
      </c>
      <c r="D807" s="40">
        <v>1205</v>
      </c>
      <c r="F807">
        <v>840</v>
      </c>
      <c r="G807" s="41">
        <v>43407</v>
      </c>
      <c r="H807" t="str">
        <v>CA</v>
      </c>
      <c r="I807">
        <v>1614</v>
      </c>
    </row>
    <row r="808" spans="1:9" x14ac:dyDescent="0.25">
      <c r="A808">
        <v>206</v>
      </c>
      <c r="B808" s="5">
        <v>43286</v>
      </c>
      <c r="C808" t="s">
        <v>94</v>
      </c>
      <c r="D808" s="40">
        <v>594</v>
      </c>
      <c r="F808">
        <v>962</v>
      </c>
      <c r="G808" s="41">
        <v>43428</v>
      </c>
      <c r="H808" t="str">
        <v>CA</v>
      </c>
      <c r="I808">
        <v>877</v>
      </c>
    </row>
    <row r="809" spans="1:9" x14ac:dyDescent="0.25">
      <c r="A809">
        <v>343</v>
      </c>
      <c r="B809" s="5">
        <v>43309</v>
      </c>
      <c r="C809" t="s">
        <v>94</v>
      </c>
      <c r="D809" s="40">
        <v>1026</v>
      </c>
      <c r="F809">
        <v>640</v>
      </c>
      <c r="G809" s="41">
        <v>43365</v>
      </c>
      <c r="H809" t="str">
        <v>TX</v>
      </c>
      <c r="I809">
        <v>598</v>
      </c>
    </row>
    <row r="810" spans="1:9" x14ac:dyDescent="0.25">
      <c r="A810">
        <v>302</v>
      </c>
      <c r="B810" s="5">
        <v>43301</v>
      </c>
      <c r="C810" t="s">
        <v>92</v>
      </c>
      <c r="D810" s="40">
        <v>1556</v>
      </c>
      <c r="F810">
        <v>615</v>
      </c>
      <c r="G810" s="41">
        <v>43361</v>
      </c>
      <c r="H810" t="str">
        <v>TX</v>
      </c>
      <c r="I810">
        <v>1964</v>
      </c>
    </row>
    <row r="811" spans="1:9" x14ac:dyDescent="0.25">
      <c r="A811">
        <v>757</v>
      </c>
      <c r="B811" s="5">
        <v>43389</v>
      </c>
      <c r="C811" t="s">
        <v>94</v>
      </c>
      <c r="D811" s="40">
        <v>1914</v>
      </c>
      <c r="F811">
        <v>477</v>
      </c>
      <c r="G811" s="41">
        <v>43333</v>
      </c>
      <c r="H811" t="str">
        <v>TX</v>
      </c>
      <c r="I811">
        <v>1919</v>
      </c>
    </row>
    <row r="812" spans="1:9" x14ac:dyDescent="0.25">
      <c r="A812">
        <v>348</v>
      </c>
      <c r="B812" s="5">
        <v>43310</v>
      </c>
      <c r="C812" t="s">
        <v>92</v>
      </c>
      <c r="D812" s="40">
        <v>1414</v>
      </c>
      <c r="F812">
        <v>936</v>
      </c>
      <c r="G812" s="41">
        <v>43423</v>
      </c>
      <c r="H812" t="str">
        <v>TX</v>
      </c>
      <c r="I812">
        <v>781</v>
      </c>
    </row>
    <row r="813" spans="1:9" x14ac:dyDescent="0.25">
      <c r="A813">
        <v>861</v>
      </c>
      <c r="B813" s="5">
        <v>43411</v>
      </c>
      <c r="C813" t="s">
        <v>92</v>
      </c>
      <c r="D813" s="40">
        <v>1844</v>
      </c>
      <c r="F813">
        <v>225</v>
      </c>
      <c r="G813" s="41">
        <v>43288</v>
      </c>
      <c r="H813" t="str">
        <v>CA</v>
      </c>
      <c r="I813">
        <v>1759</v>
      </c>
    </row>
    <row r="814" spans="1:9" x14ac:dyDescent="0.25">
      <c r="A814">
        <v>430</v>
      </c>
      <c r="B814" s="5">
        <v>43326</v>
      </c>
      <c r="C814" t="s">
        <v>93</v>
      </c>
      <c r="D814" s="40">
        <v>1415</v>
      </c>
      <c r="F814">
        <v>890</v>
      </c>
      <c r="G814" s="41">
        <v>43416</v>
      </c>
      <c r="H814" t="str">
        <v>NY</v>
      </c>
      <c r="I814">
        <v>1542</v>
      </c>
    </row>
    <row r="815" spans="1:9" x14ac:dyDescent="0.25">
      <c r="A815">
        <v>878</v>
      </c>
      <c r="B815" s="5">
        <v>43414</v>
      </c>
      <c r="C815" t="s">
        <v>93</v>
      </c>
      <c r="D815" s="40">
        <v>824</v>
      </c>
      <c r="F815">
        <v>427</v>
      </c>
      <c r="G815" s="41">
        <v>43325</v>
      </c>
      <c r="H815" t="str">
        <v>CA</v>
      </c>
      <c r="I815">
        <v>510</v>
      </c>
    </row>
    <row r="816" spans="1:9" x14ac:dyDescent="0.25">
      <c r="A816">
        <v>827</v>
      </c>
      <c r="B816" s="5">
        <v>43404</v>
      </c>
      <c r="C816" t="s">
        <v>94</v>
      </c>
      <c r="D816" s="40">
        <v>515</v>
      </c>
      <c r="F816">
        <v>993</v>
      </c>
      <c r="G816" s="41">
        <v>43434</v>
      </c>
      <c r="H816" t="str">
        <v>TX</v>
      </c>
      <c r="I816">
        <v>858</v>
      </c>
    </row>
    <row r="817" spans="1:9" x14ac:dyDescent="0.25">
      <c r="A817">
        <v>129</v>
      </c>
      <c r="B817" s="5">
        <v>43272</v>
      </c>
      <c r="C817" t="s">
        <v>92</v>
      </c>
      <c r="D817" s="40">
        <v>1819</v>
      </c>
      <c r="F817">
        <v>862</v>
      </c>
      <c r="G817" s="41">
        <v>43411</v>
      </c>
      <c r="H817" t="str">
        <v>CA</v>
      </c>
      <c r="I817">
        <v>1615</v>
      </c>
    </row>
    <row r="818" spans="1:9" x14ac:dyDescent="0.25">
      <c r="A818">
        <v>470</v>
      </c>
      <c r="B818" s="5">
        <v>43332</v>
      </c>
      <c r="C818" t="s">
        <v>94</v>
      </c>
      <c r="D818" s="40">
        <v>1975</v>
      </c>
      <c r="F818">
        <v>438</v>
      </c>
      <c r="G818" s="41">
        <v>43327</v>
      </c>
      <c r="H818" t="str">
        <v>CA</v>
      </c>
      <c r="I818">
        <v>1133</v>
      </c>
    </row>
    <row r="819" spans="1:9" x14ac:dyDescent="0.25">
      <c r="A819">
        <v>503</v>
      </c>
      <c r="B819" s="5">
        <v>43339</v>
      </c>
      <c r="C819" t="s">
        <v>92</v>
      </c>
      <c r="D819" s="40">
        <v>1216</v>
      </c>
      <c r="F819">
        <v>246</v>
      </c>
      <c r="G819" s="41">
        <v>43292</v>
      </c>
      <c r="H819" t="str">
        <v>TX</v>
      </c>
      <c r="I819">
        <v>651</v>
      </c>
    </row>
    <row r="820" spans="1:9" x14ac:dyDescent="0.25">
      <c r="A820">
        <v>848</v>
      </c>
      <c r="B820" s="5">
        <v>43409</v>
      </c>
      <c r="C820" t="s">
        <v>92</v>
      </c>
      <c r="D820" s="40">
        <v>1899</v>
      </c>
      <c r="F820">
        <v>676</v>
      </c>
      <c r="G820" s="41">
        <v>43373</v>
      </c>
      <c r="H820" t="str">
        <v>TX</v>
      </c>
      <c r="I820">
        <v>657</v>
      </c>
    </row>
    <row r="821" spans="1:9" x14ac:dyDescent="0.25">
      <c r="A821">
        <v>705</v>
      </c>
      <c r="B821" s="5">
        <v>43381</v>
      </c>
      <c r="C821" t="s">
        <v>93</v>
      </c>
      <c r="D821" s="40">
        <v>1103</v>
      </c>
      <c r="F821">
        <v>481</v>
      </c>
      <c r="G821" s="41">
        <v>43334</v>
      </c>
      <c r="H821" t="str">
        <v>CA</v>
      </c>
      <c r="I821">
        <v>527</v>
      </c>
    </row>
    <row r="822" spans="1:9" x14ac:dyDescent="0.25">
      <c r="A822">
        <v>727</v>
      </c>
      <c r="B822" s="5">
        <v>43385</v>
      </c>
      <c r="C822" t="s">
        <v>94</v>
      </c>
      <c r="D822" s="40">
        <v>683</v>
      </c>
      <c r="F822">
        <v>616</v>
      </c>
      <c r="G822" s="41">
        <v>43361</v>
      </c>
      <c r="H822" t="str">
        <v>NY</v>
      </c>
      <c r="I822">
        <v>957</v>
      </c>
    </row>
    <row r="823" spans="1:9" x14ac:dyDescent="0.25">
      <c r="A823">
        <v>301</v>
      </c>
      <c r="B823" s="5">
        <v>43301</v>
      </c>
      <c r="C823" t="s">
        <v>92</v>
      </c>
      <c r="D823" s="40">
        <v>788</v>
      </c>
      <c r="F823">
        <v>858</v>
      </c>
      <c r="G823" s="41">
        <v>43410</v>
      </c>
      <c r="H823" t="str">
        <v>CA</v>
      </c>
      <c r="I823">
        <v>543</v>
      </c>
    </row>
    <row r="824" spans="1:9" x14ac:dyDescent="0.25">
      <c r="A824">
        <v>671</v>
      </c>
      <c r="B824" s="5">
        <v>43371</v>
      </c>
      <c r="C824" t="s">
        <v>94</v>
      </c>
      <c r="D824" s="40">
        <v>758</v>
      </c>
      <c r="F824">
        <v>826</v>
      </c>
      <c r="G824" s="41">
        <v>43404</v>
      </c>
      <c r="H824" t="str">
        <v>CA</v>
      </c>
      <c r="I824">
        <v>1386</v>
      </c>
    </row>
    <row r="825" spans="1:9" x14ac:dyDescent="0.25">
      <c r="A825">
        <v>987</v>
      </c>
      <c r="B825" s="5">
        <v>43432</v>
      </c>
      <c r="C825" t="s">
        <v>93</v>
      </c>
      <c r="D825" s="40">
        <v>572</v>
      </c>
      <c r="G825" s="41"/>
    </row>
    <row r="826" spans="1:9" x14ac:dyDescent="0.25">
      <c r="A826">
        <v>689</v>
      </c>
      <c r="B826" s="5">
        <v>43377</v>
      </c>
      <c r="C826" t="s">
        <v>93</v>
      </c>
      <c r="D826" s="40">
        <v>1485</v>
      </c>
      <c r="G826" s="41"/>
    </row>
    <row r="827" spans="1:9" x14ac:dyDescent="0.25">
      <c r="A827">
        <v>788</v>
      </c>
      <c r="B827" s="5">
        <v>43395</v>
      </c>
      <c r="C827" t="s">
        <v>93</v>
      </c>
      <c r="D827" s="40">
        <v>1025</v>
      </c>
      <c r="G827" s="41"/>
    </row>
    <row r="828" spans="1:9" x14ac:dyDescent="0.25">
      <c r="A828">
        <v>478</v>
      </c>
      <c r="B828" s="5">
        <v>43334</v>
      </c>
      <c r="C828" t="s">
        <v>94</v>
      </c>
      <c r="D828" s="40">
        <v>1481</v>
      </c>
      <c r="G828" s="41"/>
    </row>
    <row r="829" spans="1:9" x14ac:dyDescent="0.25">
      <c r="A829">
        <v>496</v>
      </c>
      <c r="B829" s="5">
        <v>43338</v>
      </c>
      <c r="C829" t="s">
        <v>92</v>
      </c>
      <c r="D829" s="40">
        <v>615</v>
      </c>
    </row>
    <row r="830" spans="1:9" x14ac:dyDescent="0.25">
      <c r="A830">
        <v>911</v>
      </c>
      <c r="B830" s="5">
        <v>43419</v>
      </c>
      <c r="C830" t="s">
        <v>94</v>
      </c>
      <c r="D830" s="40">
        <v>1121</v>
      </c>
    </row>
    <row r="831" spans="1:9" x14ac:dyDescent="0.25">
      <c r="A831">
        <v>143</v>
      </c>
      <c r="B831" s="5">
        <v>43275</v>
      </c>
      <c r="C831" t="s">
        <v>92</v>
      </c>
      <c r="D831" s="40">
        <v>962</v>
      </c>
    </row>
    <row r="832" spans="1:9" x14ac:dyDescent="0.25">
      <c r="A832">
        <v>223</v>
      </c>
      <c r="B832" s="5">
        <v>43288</v>
      </c>
      <c r="C832" t="s">
        <v>93</v>
      </c>
      <c r="D832" s="40">
        <v>876</v>
      </c>
    </row>
    <row r="833" spans="1:4" x14ac:dyDescent="0.25">
      <c r="A833">
        <v>594</v>
      </c>
      <c r="B833" s="5">
        <v>43356</v>
      </c>
      <c r="C833" t="s">
        <v>92</v>
      </c>
      <c r="D833" s="40">
        <v>1594</v>
      </c>
    </row>
    <row r="834" spans="1:4" x14ac:dyDescent="0.25">
      <c r="A834">
        <v>380</v>
      </c>
      <c r="B834" s="5">
        <v>43315</v>
      </c>
      <c r="C834" t="s">
        <v>94</v>
      </c>
      <c r="D834" s="40">
        <v>1191</v>
      </c>
    </row>
    <row r="835" spans="1:4" x14ac:dyDescent="0.25">
      <c r="A835">
        <v>613</v>
      </c>
      <c r="B835" s="5">
        <v>43360</v>
      </c>
      <c r="C835" t="s">
        <v>92</v>
      </c>
      <c r="D835" s="40">
        <v>530</v>
      </c>
    </row>
    <row r="836" spans="1:4" x14ac:dyDescent="0.25">
      <c r="A836">
        <v>391</v>
      </c>
      <c r="B836" s="5">
        <v>43318</v>
      </c>
      <c r="C836" t="s">
        <v>93</v>
      </c>
      <c r="D836" s="40">
        <v>900</v>
      </c>
    </row>
    <row r="837" spans="1:4" x14ac:dyDescent="0.25">
      <c r="A837">
        <v>448</v>
      </c>
      <c r="B837" s="5">
        <v>43329</v>
      </c>
      <c r="C837" t="s">
        <v>93</v>
      </c>
      <c r="D837" s="40">
        <v>891</v>
      </c>
    </row>
    <row r="838" spans="1:4" x14ac:dyDescent="0.25">
      <c r="A838">
        <v>646</v>
      </c>
      <c r="B838" s="5">
        <v>43366</v>
      </c>
      <c r="C838" t="s">
        <v>93</v>
      </c>
      <c r="D838" s="40">
        <v>1064</v>
      </c>
    </row>
    <row r="839" spans="1:4" x14ac:dyDescent="0.25">
      <c r="A839">
        <v>835</v>
      </c>
      <c r="B839" s="5">
        <v>43407</v>
      </c>
      <c r="C839" t="s">
        <v>94</v>
      </c>
      <c r="D839" s="40">
        <v>771</v>
      </c>
    </row>
    <row r="840" spans="1:4" x14ac:dyDescent="0.25">
      <c r="A840">
        <v>82</v>
      </c>
      <c r="B840" s="5">
        <v>43265</v>
      </c>
      <c r="C840" t="s">
        <v>93</v>
      </c>
      <c r="D840" s="40">
        <v>1851</v>
      </c>
    </row>
    <row r="841" spans="1:4" x14ac:dyDescent="0.25">
      <c r="A841">
        <v>954</v>
      </c>
      <c r="B841" s="5">
        <v>43427</v>
      </c>
      <c r="C841" t="s">
        <v>93</v>
      </c>
      <c r="D841" s="40">
        <v>559</v>
      </c>
    </row>
    <row r="842" spans="1:4" x14ac:dyDescent="0.25">
      <c r="A842">
        <v>11</v>
      </c>
      <c r="B842" s="5">
        <v>43254</v>
      </c>
      <c r="C842" t="s">
        <v>92</v>
      </c>
      <c r="D842" s="40">
        <v>1447</v>
      </c>
    </row>
    <row r="843" spans="1:4" x14ac:dyDescent="0.25">
      <c r="A843">
        <v>230</v>
      </c>
      <c r="B843" s="5">
        <v>43289</v>
      </c>
      <c r="C843" t="s">
        <v>92</v>
      </c>
      <c r="D843" s="40">
        <v>605</v>
      </c>
    </row>
    <row r="844" spans="1:4" x14ac:dyDescent="0.25">
      <c r="A844">
        <v>953</v>
      </c>
      <c r="B844" s="5">
        <v>43427</v>
      </c>
      <c r="C844" t="s">
        <v>92</v>
      </c>
      <c r="D844" s="40">
        <v>758</v>
      </c>
    </row>
    <row r="845" spans="1:4" x14ac:dyDescent="0.25">
      <c r="A845">
        <v>165</v>
      </c>
      <c r="B845" s="5">
        <v>43278</v>
      </c>
      <c r="C845" t="s">
        <v>92</v>
      </c>
      <c r="D845" s="40">
        <v>773</v>
      </c>
    </row>
    <row r="846" spans="1:4" x14ac:dyDescent="0.25">
      <c r="A846">
        <v>670</v>
      </c>
      <c r="B846" s="5">
        <v>43370</v>
      </c>
      <c r="C846" t="s">
        <v>92</v>
      </c>
      <c r="D846" s="40">
        <v>1551</v>
      </c>
    </row>
    <row r="847" spans="1:4" x14ac:dyDescent="0.25">
      <c r="A847">
        <v>491</v>
      </c>
      <c r="B847" s="5">
        <v>43335</v>
      </c>
      <c r="C847" t="s">
        <v>93</v>
      </c>
      <c r="D847" s="40">
        <v>1189</v>
      </c>
    </row>
    <row r="848" spans="1:4" x14ac:dyDescent="0.25">
      <c r="A848">
        <v>415</v>
      </c>
      <c r="B848" s="5">
        <v>43323</v>
      </c>
      <c r="C848" t="s">
        <v>93</v>
      </c>
      <c r="D848" s="40">
        <v>1260</v>
      </c>
    </row>
    <row r="849" spans="1:4" x14ac:dyDescent="0.25">
      <c r="A849">
        <v>708</v>
      </c>
      <c r="B849" s="5">
        <v>43382</v>
      </c>
      <c r="C849" t="s">
        <v>93</v>
      </c>
      <c r="D849" s="40">
        <v>1547</v>
      </c>
    </row>
    <row r="850" spans="1:4" x14ac:dyDescent="0.25">
      <c r="A850">
        <v>1000</v>
      </c>
      <c r="B850" s="5">
        <v>43434</v>
      </c>
      <c r="C850" t="s">
        <v>94</v>
      </c>
      <c r="D850" s="40">
        <v>1060</v>
      </c>
    </row>
    <row r="851" spans="1:4" x14ac:dyDescent="0.25">
      <c r="A851">
        <v>531</v>
      </c>
      <c r="B851" s="5">
        <v>43344</v>
      </c>
      <c r="C851" t="s">
        <v>94</v>
      </c>
      <c r="D851" s="40">
        <v>1523</v>
      </c>
    </row>
    <row r="852" spans="1:4" x14ac:dyDescent="0.25">
      <c r="A852">
        <v>865</v>
      </c>
      <c r="B852" s="5">
        <v>43412</v>
      </c>
      <c r="C852" t="s">
        <v>93</v>
      </c>
      <c r="D852" s="40">
        <v>1784</v>
      </c>
    </row>
    <row r="853" spans="1:4" x14ac:dyDescent="0.25">
      <c r="A853">
        <v>267</v>
      </c>
      <c r="B853" s="5">
        <v>43296</v>
      </c>
      <c r="C853" t="s">
        <v>93</v>
      </c>
      <c r="D853" s="40">
        <v>1048</v>
      </c>
    </row>
    <row r="854" spans="1:4" x14ac:dyDescent="0.25">
      <c r="A854">
        <v>166</v>
      </c>
      <c r="B854" s="5">
        <v>43279</v>
      </c>
      <c r="C854" t="s">
        <v>92</v>
      </c>
      <c r="D854" s="40">
        <v>1945</v>
      </c>
    </row>
    <row r="855" spans="1:4" x14ac:dyDescent="0.25">
      <c r="A855">
        <v>971</v>
      </c>
      <c r="B855" s="5">
        <v>43430</v>
      </c>
      <c r="C855" t="s">
        <v>94</v>
      </c>
      <c r="D855" s="40">
        <v>820</v>
      </c>
    </row>
    <row r="856" spans="1:4" x14ac:dyDescent="0.25">
      <c r="A856">
        <v>663</v>
      </c>
      <c r="B856" s="5">
        <v>43369</v>
      </c>
      <c r="C856" t="s">
        <v>93</v>
      </c>
      <c r="D856" s="40">
        <v>1666</v>
      </c>
    </row>
    <row r="857" spans="1:4" x14ac:dyDescent="0.25">
      <c r="A857">
        <v>453</v>
      </c>
      <c r="B857" s="5">
        <v>43330</v>
      </c>
      <c r="C857" t="s">
        <v>93</v>
      </c>
      <c r="D857" s="40">
        <v>898</v>
      </c>
    </row>
    <row r="858" spans="1:4" x14ac:dyDescent="0.25">
      <c r="A858">
        <v>698</v>
      </c>
      <c r="B858" s="5">
        <v>43379</v>
      </c>
      <c r="C858" t="s">
        <v>93</v>
      </c>
      <c r="D858" s="40">
        <v>1517</v>
      </c>
    </row>
    <row r="859" spans="1:4" x14ac:dyDescent="0.25">
      <c r="A859">
        <v>963</v>
      </c>
      <c r="B859" s="5">
        <v>43428</v>
      </c>
      <c r="C859" t="s">
        <v>92</v>
      </c>
      <c r="D859" s="40">
        <v>1907</v>
      </c>
    </row>
    <row r="860" spans="1:4" x14ac:dyDescent="0.25">
      <c r="A860">
        <v>124</v>
      </c>
      <c r="B860" s="5">
        <v>43271</v>
      </c>
      <c r="C860" t="s">
        <v>92</v>
      </c>
      <c r="D860" s="40">
        <v>1877</v>
      </c>
    </row>
    <row r="861" spans="1:4" x14ac:dyDescent="0.25">
      <c r="A861">
        <v>723</v>
      </c>
      <c r="B861" s="5">
        <v>43384</v>
      </c>
      <c r="C861" t="s">
        <v>94</v>
      </c>
      <c r="D861" s="40">
        <v>1798</v>
      </c>
    </row>
    <row r="862" spans="1:4" x14ac:dyDescent="0.25">
      <c r="A862">
        <v>636</v>
      </c>
      <c r="B862" s="5">
        <v>43365</v>
      </c>
      <c r="C862" t="s">
        <v>92</v>
      </c>
      <c r="D862" s="40">
        <v>1061</v>
      </c>
    </row>
    <row r="863" spans="1:4" x14ac:dyDescent="0.25">
      <c r="A863">
        <v>681</v>
      </c>
      <c r="B863" s="5">
        <v>43375</v>
      </c>
      <c r="C863" t="s">
        <v>92</v>
      </c>
      <c r="D863" s="40">
        <v>1380</v>
      </c>
    </row>
    <row r="864" spans="1:4" x14ac:dyDescent="0.25">
      <c r="A864">
        <v>227</v>
      </c>
      <c r="B864" s="5">
        <v>43289</v>
      </c>
      <c r="C864" t="s">
        <v>92</v>
      </c>
      <c r="D864" s="40">
        <v>1718</v>
      </c>
    </row>
    <row r="865" spans="1:4" x14ac:dyDescent="0.25">
      <c r="A865">
        <v>251</v>
      </c>
      <c r="B865" s="5">
        <v>43293</v>
      </c>
      <c r="C865" t="s">
        <v>92</v>
      </c>
      <c r="D865" s="40">
        <v>1640</v>
      </c>
    </row>
    <row r="866" spans="1:4" x14ac:dyDescent="0.25">
      <c r="A866">
        <v>468</v>
      </c>
      <c r="B866" s="5">
        <v>43332</v>
      </c>
      <c r="C866" t="s">
        <v>94</v>
      </c>
      <c r="D866" s="40">
        <v>1664</v>
      </c>
    </row>
    <row r="867" spans="1:4" x14ac:dyDescent="0.25">
      <c r="A867">
        <v>139</v>
      </c>
      <c r="B867" s="5">
        <v>43274</v>
      </c>
      <c r="C867" t="s">
        <v>94</v>
      </c>
      <c r="D867" s="40">
        <v>608</v>
      </c>
    </row>
    <row r="868" spans="1:4" x14ac:dyDescent="0.25">
      <c r="A868">
        <v>60</v>
      </c>
      <c r="B868" s="5">
        <v>43261</v>
      </c>
      <c r="C868" t="s">
        <v>92</v>
      </c>
      <c r="D868" s="40">
        <v>1414</v>
      </c>
    </row>
    <row r="869" spans="1:4" x14ac:dyDescent="0.25">
      <c r="A869">
        <v>755</v>
      </c>
      <c r="B869" s="5">
        <v>43389</v>
      </c>
      <c r="C869" t="s">
        <v>93</v>
      </c>
      <c r="D869" s="40">
        <v>1175</v>
      </c>
    </row>
    <row r="870" spans="1:4" x14ac:dyDescent="0.25">
      <c r="A870">
        <v>857</v>
      </c>
      <c r="B870" s="5">
        <v>43410</v>
      </c>
      <c r="C870" t="s">
        <v>94</v>
      </c>
      <c r="D870" s="40">
        <v>1418</v>
      </c>
    </row>
    <row r="871" spans="1:4" x14ac:dyDescent="0.25">
      <c r="A871">
        <v>324</v>
      </c>
      <c r="B871" s="5">
        <v>43305</v>
      </c>
      <c r="C871" t="s">
        <v>94</v>
      </c>
      <c r="D871" s="40">
        <v>667</v>
      </c>
    </row>
    <row r="872" spans="1:4" x14ac:dyDescent="0.25">
      <c r="A872">
        <v>709</v>
      </c>
      <c r="B872" s="5">
        <v>43382</v>
      </c>
      <c r="C872" t="s">
        <v>94</v>
      </c>
      <c r="D872" s="40">
        <v>645</v>
      </c>
    </row>
    <row r="873" spans="1:4" x14ac:dyDescent="0.25">
      <c r="A873">
        <v>352</v>
      </c>
      <c r="B873" s="5">
        <v>43311</v>
      </c>
      <c r="C873" t="s">
        <v>93</v>
      </c>
      <c r="D873" s="40">
        <v>1855</v>
      </c>
    </row>
    <row r="874" spans="1:4" x14ac:dyDescent="0.25">
      <c r="A874">
        <v>761</v>
      </c>
      <c r="B874" s="5">
        <v>43390</v>
      </c>
      <c r="C874" t="s">
        <v>92</v>
      </c>
      <c r="D874" s="40">
        <v>1660</v>
      </c>
    </row>
    <row r="875" spans="1:4" x14ac:dyDescent="0.25">
      <c r="A875">
        <v>699</v>
      </c>
      <c r="B875" s="5">
        <v>43379</v>
      </c>
      <c r="C875" t="s">
        <v>92</v>
      </c>
      <c r="D875" s="40">
        <v>589</v>
      </c>
    </row>
    <row r="876" spans="1:4" x14ac:dyDescent="0.25">
      <c r="A876">
        <v>18</v>
      </c>
      <c r="B876" s="5">
        <v>43254</v>
      </c>
      <c r="C876" t="s">
        <v>94</v>
      </c>
      <c r="D876" s="40">
        <v>1920</v>
      </c>
    </row>
    <row r="877" spans="1:4" x14ac:dyDescent="0.25">
      <c r="A877">
        <v>405</v>
      </c>
      <c r="B877" s="5">
        <v>43321</v>
      </c>
      <c r="C877" t="s">
        <v>92</v>
      </c>
      <c r="D877" s="40">
        <v>1386</v>
      </c>
    </row>
    <row r="878" spans="1:4" x14ac:dyDescent="0.25">
      <c r="A878">
        <v>420</v>
      </c>
      <c r="B878" s="5">
        <v>43323</v>
      </c>
      <c r="C878" t="s">
        <v>92</v>
      </c>
      <c r="D878" s="40">
        <v>1862</v>
      </c>
    </row>
    <row r="879" spans="1:4" x14ac:dyDescent="0.25">
      <c r="A879">
        <v>309</v>
      </c>
      <c r="B879" s="5">
        <v>43303</v>
      </c>
      <c r="C879" t="s">
        <v>92</v>
      </c>
      <c r="D879" s="40">
        <v>1509</v>
      </c>
    </row>
    <row r="880" spans="1:4" x14ac:dyDescent="0.25">
      <c r="A880">
        <v>403</v>
      </c>
      <c r="B880" s="5">
        <v>43321</v>
      </c>
      <c r="C880" t="s">
        <v>93</v>
      </c>
      <c r="D880" s="40">
        <v>1477</v>
      </c>
    </row>
    <row r="881" spans="1:4" x14ac:dyDescent="0.25">
      <c r="A881">
        <v>95</v>
      </c>
      <c r="B881" s="5">
        <v>43267</v>
      </c>
      <c r="C881" t="s">
        <v>92</v>
      </c>
      <c r="D881" s="40">
        <v>1762</v>
      </c>
    </row>
    <row r="882" spans="1:4" x14ac:dyDescent="0.25">
      <c r="A882">
        <v>977</v>
      </c>
      <c r="B882" s="5">
        <v>43431</v>
      </c>
      <c r="C882" t="s">
        <v>93</v>
      </c>
      <c r="D882" s="40">
        <v>1847</v>
      </c>
    </row>
    <row r="883" spans="1:4" x14ac:dyDescent="0.25">
      <c r="A883">
        <v>192</v>
      </c>
      <c r="B883" s="5">
        <v>43283</v>
      </c>
      <c r="C883" t="s">
        <v>93</v>
      </c>
      <c r="D883" s="40">
        <v>1312</v>
      </c>
    </row>
    <row r="884" spans="1:4" x14ac:dyDescent="0.25">
      <c r="A884">
        <v>763</v>
      </c>
      <c r="B884" s="5">
        <v>43391</v>
      </c>
      <c r="C884" t="s">
        <v>94</v>
      </c>
      <c r="D884" s="40">
        <v>1012</v>
      </c>
    </row>
    <row r="885" spans="1:4" x14ac:dyDescent="0.25">
      <c r="A885">
        <v>839</v>
      </c>
      <c r="B885" s="5">
        <v>43407</v>
      </c>
      <c r="C885" t="s">
        <v>93</v>
      </c>
      <c r="D885" s="40">
        <v>1788</v>
      </c>
    </row>
    <row r="886" spans="1:4" x14ac:dyDescent="0.25">
      <c r="A886">
        <v>232</v>
      </c>
      <c r="B886" s="5">
        <v>43290</v>
      </c>
      <c r="C886" t="s">
        <v>93</v>
      </c>
      <c r="D886" s="40">
        <v>1681</v>
      </c>
    </row>
    <row r="887" spans="1:4" x14ac:dyDescent="0.25">
      <c r="A887">
        <v>618</v>
      </c>
      <c r="B887" s="5">
        <v>43362</v>
      </c>
      <c r="C887" t="s">
        <v>94</v>
      </c>
      <c r="D887" s="40">
        <v>1863</v>
      </c>
    </row>
    <row r="888" spans="1:4" x14ac:dyDescent="0.25">
      <c r="A888">
        <v>49</v>
      </c>
      <c r="B888" s="5">
        <v>43259</v>
      </c>
      <c r="C888" t="s">
        <v>92</v>
      </c>
      <c r="D888" s="40">
        <v>645</v>
      </c>
    </row>
    <row r="889" spans="1:4" x14ac:dyDescent="0.25">
      <c r="A889">
        <v>5</v>
      </c>
      <c r="B889" s="5">
        <v>43253</v>
      </c>
      <c r="C889" t="s">
        <v>93</v>
      </c>
      <c r="D889" s="40">
        <v>1585</v>
      </c>
    </row>
    <row r="890" spans="1:4" x14ac:dyDescent="0.25">
      <c r="A890">
        <v>257</v>
      </c>
      <c r="B890" s="5">
        <v>43294</v>
      </c>
      <c r="C890" t="s">
        <v>92</v>
      </c>
      <c r="D890" s="40">
        <v>682</v>
      </c>
    </row>
    <row r="891" spans="1:4" x14ac:dyDescent="0.25">
      <c r="A891">
        <v>433</v>
      </c>
      <c r="B891" s="5">
        <v>43327</v>
      </c>
      <c r="C891" t="s">
        <v>94</v>
      </c>
      <c r="D891" s="40">
        <v>1445</v>
      </c>
    </row>
    <row r="892" spans="1:4" x14ac:dyDescent="0.25">
      <c r="A892">
        <v>128</v>
      </c>
      <c r="B892" s="5">
        <v>43272</v>
      </c>
      <c r="C892" t="s">
        <v>93</v>
      </c>
      <c r="D892" s="40">
        <v>607</v>
      </c>
    </row>
    <row r="893" spans="1:4" x14ac:dyDescent="0.25">
      <c r="A893">
        <v>569</v>
      </c>
      <c r="B893" s="5">
        <v>43350</v>
      </c>
      <c r="C893" t="s">
        <v>92</v>
      </c>
      <c r="D893" s="40">
        <v>1200</v>
      </c>
    </row>
    <row r="894" spans="1:4" x14ac:dyDescent="0.25">
      <c r="A894">
        <v>400</v>
      </c>
      <c r="B894" s="5">
        <v>43320</v>
      </c>
      <c r="C894" t="s">
        <v>92</v>
      </c>
      <c r="D894" s="40">
        <v>1259</v>
      </c>
    </row>
    <row r="895" spans="1:4" x14ac:dyDescent="0.25">
      <c r="A895">
        <v>428</v>
      </c>
      <c r="B895" s="5">
        <v>43325</v>
      </c>
      <c r="C895" t="s">
        <v>92</v>
      </c>
      <c r="D895" s="40">
        <v>1257</v>
      </c>
    </row>
    <row r="896" spans="1:4" x14ac:dyDescent="0.25">
      <c r="A896">
        <v>99</v>
      </c>
      <c r="B896" s="5">
        <v>43268</v>
      </c>
      <c r="C896" t="s">
        <v>94</v>
      </c>
      <c r="D896" s="40">
        <v>1184</v>
      </c>
    </row>
    <row r="897" spans="1:4" x14ac:dyDescent="0.25">
      <c r="A897">
        <v>545</v>
      </c>
      <c r="B897" s="5">
        <v>43346</v>
      </c>
      <c r="C897" t="s">
        <v>92</v>
      </c>
      <c r="D897" s="40">
        <v>1729</v>
      </c>
    </row>
    <row r="898" spans="1:4" x14ac:dyDescent="0.25">
      <c r="A898">
        <v>805</v>
      </c>
      <c r="B898" s="5">
        <v>43399</v>
      </c>
      <c r="C898" t="s">
        <v>92</v>
      </c>
      <c r="D898" s="40">
        <v>554</v>
      </c>
    </row>
    <row r="899" spans="1:4" x14ac:dyDescent="0.25">
      <c r="A899">
        <v>690</v>
      </c>
      <c r="B899" s="5">
        <v>43378</v>
      </c>
      <c r="C899" t="s">
        <v>93</v>
      </c>
      <c r="D899" s="40">
        <v>779</v>
      </c>
    </row>
    <row r="900" spans="1:4" x14ac:dyDescent="0.25">
      <c r="A900">
        <v>434</v>
      </c>
      <c r="B900" s="5">
        <v>43327</v>
      </c>
      <c r="C900" t="s">
        <v>94</v>
      </c>
      <c r="D900" s="40">
        <v>1091</v>
      </c>
    </row>
    <row r="901" spans="1:4" x14ac:dyDescent="0.25">
      <c r="A901">
        <v>575</v>
      </c>
      <c r="B901" s="5">
        <v>43351</v>
      </c>
      <c r="C901" t="s">
        <v>94</v>
      </c>
      <c r="D901" s="40">
        <v>937</v>
      </c>
    </row>
    <row r="902" spans="1:4" x14ac:dyDescent="0.25">
      <c r="A902">
        <v>573</v>
      </c>
      <c r="B902" s="5">
        <v>43350</v>
      </c>
      <c r="C902" t="s">
        <v>94</v>
      </c>
      <c r="D902" s="40">
        <v>1304</v>
      </c>
    </row>
    <row r="903" spans="1:4" x14ac:dyDescent="0.25">
      <c r="A903">
        <v>782</v>
      </c>
      <c r="B903" s="5">
        <v>43393</v>
      </c>
      <c r="C903" t="s">
        <v>93</v>
      </c>
      <c r="D903" s="40">
        <v>929</v>
      </c>
    </row>
    <row r="904" spans="1:4" x14ac:dyDescent="0.25">
      <c r="A904">
        <v>961</v>
      </c>
      <c r="B904" s="5">
        <v>43428</v>
      </c>
      <c r="C904" t="s">
        <v>94</v>
      </c>
      <c r="D904" s="40">
        <v>1049</v>
      </c>
    </row>
    <row r="905" spans="1:4" x14ac:dyDescent="0.25">
      <c r="A905">
        <v>104</v>
      </c>
      <c r="B905" s="5">
        <v>43268</v>
      </c>
      <c r="C905" t="s">
        <v>94</v>
      </c>
      <c r="D905" s="40">
        <v>1154</v>
      </c>
    </row>
    <row r="906" spans="1:4" x14ac:dyDescent="0.25">
      <c r="A906">
        <v>407</v>
      </c>
      <c r="B906" s="5">
        <v>43322</v>
      </c>
      <c r="C906" t="s">
        <v>93</v>
      </c>
      <c r="D906" s="40">
        <v>1815</v>
      </c>
    </row>
    <row r="907" spans="1:4" x14ac:dyDescent="0.25">
      <c r="A907">
        <v>172</v>
      </c>
      <c r="B907" s="5">
        <v>43280</v>
      </c>
      <c r="C907" t="s">
        <v>92</v>
      </c>
      <c r="D907" s="40">
        <v>858</v>
      </c>
    </row>
    <row r="908" spans="1:4" x14ac:dyDescent="0.25">
      <c r="A908">
        <v>766</v>
      </c>
      <c r="B908" s="5">
        <v>43392</v>
      </c>
      <c r="C908" t="s">
        <v>94</v>
      </c>
      <c r="D908" s="40">
        <v>874</v>
      </c>
    </row>
    <row r="909" spans="1:4" x14ac:dyDescent="0.25">
      <c r="A909">
        <v>97</v>
      </c>
      <c r="B909" s="5">
        <v>43267</v>
      </c>
      <c r="C909" t="s">
        <v>92</v>
      </c>
      <c r="D909" s="40">
        <v>955</v>
      </c>
    </row>
    <row r="910" spans="1:4" x14ac:dyDescent="0.25">
      <c r="A910">
        <v>935</v>
      </c>
      <c r="B910" s="5">
        <v>43423</v>
      </c>
      <c r="C910" t="s">
        <v>92</v>
      </c>
      <c r="D910" s="40">
        <v>1303</v>
      </c>
    </row>
    <row r="911" spans="1:4" x14ac:dyDescent="0.25">
      <c r="A911">
        <v>72</v>
      </c>
      <c r="B911" s="5">
        <v>43264</v>
      </c>
      <c r="C911" t="s">
        <v>93</v>
      </c>
      <c r="D911" s="40">
        <v>1037</v>
      </c>
    </row>
    <row r="912" spans="1:4" x14ac:dyDescent="0.25">
      <c r="A912">
        <v>102</v>
      </c>
      <c r="B912" s="5">
        <v>43268</v>
      </c>
      <c r="C912" t="s">
        <v>94</v>
      </c>
      <c r="D912" s="40">
        <v>985</v>
      </c>
    </row>
    <row r="913" spans="1:4" x14ac:dyDescent="0.25">
      <c r="A913">
        <v>23</v>
      </c>
      <c r="B913" s="5">
        <v>43255</v>
      </c>
      <c r="C913" t="s">
        <v>93</v>
      </c>
      <c r="D913" s="40">
        <v>675</v>
      </c>
    </row>
    <row r="914" spans="1:4" x14ac:dyDescent="0.25">
      <c r="A914">
        <v>978</v>
      </c>
      <c r="B914" s="5">
        <v>43431</v>
      </c>
      <c r="C914" t="s">
        <v>94</v>
      </c>
      <c r="D914" s="40">
        <v>1596</v>
      </c>
    </row>
    <row r="915" spans="1:4" x14ac:dyDescent="0.25">
      <c r="A915">
        <v>549</v>
      </c>
      <c r="B915" s="5">
        <v>43347</v>
      </c>
      <c r="C915" t="s">
        <v>93</v>
      </c>
      <c r="D915" s="40">
        <v>653</v>
      </c>
    </row>
    <row r="916" spans="1:4" x14ac:dyDescent="0.25">
      <c r="A916">
        <v>570</v>
      </c>
      <c r="B916" s="5">
        <v>43350</v>
      </c>
      <c r="C916" t="s">
        <v>94</v>
      </c>
      <c r="D916" s="40">
        <v>1712</v>
      </c>
    </row>
    <row r="917" spans="1:4" x14ac:dyDescent="0.25">
      <c r="A917">
        <v>388</v>
      </c>
      <c r="B917" s="5">
        <v>43317</v>
      </c>
      <c r="C917" t="s">
        <v>94</v>
      </c>
      <c r="D917" s="40">
        <v>1065</v>
      </c>
    </row>
    <row r="918" spans="1:4" x14ac:dyDescent="0.25">
      <c r="A918">
        <v>432</v>
      </c>
      <c r="B918" s="5">
        <v>43326</v>
      </c>
      <c r="C918" t="s">
        <v>93</v>
      </c>
      <c r="D918" s="40">
        <v>678</v>
      </c>
    </row>
    <row r="919" spans="1:4" x14ac:dyDescent="0.25">
      <c r="A919">
        <v>851</v>
      </c>
      <c r="B919" s="5">
        <v>43409</v>
      </c>
      <c r="C919" t="s">
        <v>92</v>
      </c>
      <c r="D919" s="40">
        <v>1053</v>
      </c>
    </row>
    <row r="920" spans="1:4" x14ac:dyDescent="0.25">
      <c r="A920">
        <v>896</v>
      </c>
      <c r="B920" s="5">
        <v>43417</v>
      </c>
      <c r="C920" t="s">
        <v>92</v>
      </c>
      <c r="D920" s="40">
        <v>1940</v>
      </c>
    </row>
    <row r="921" spans="1:4" x14ac:dyDescent="0.25">
      <c r="A921">
        <v>891</v>
      </c>
      <c r="B921" s="5">
        <v>43416</v>
      </c>
      <c r="C921" t="s">
        <v>92</v>
      </c>
      <c r="D921" s="40">
        <v>1884</v>
      </c>
    </row>
    <row r="922" spans="1:4" x14ac:dyDescent="0.25">
      <c r="A922">
        <v>320</v>
      </c>
      <c r="B922" s="5">
        <v>43304</v>
      </c>
      <c r="C922" t="s">
        <v>92</v>
      </c>
      <c r="D922" s="40">
        <v>1697</v>
      </c>
    </row>
    <row r="923" spans="1:4" x14ac:dyDescent="0.25">
      <c r="A923">
        <v>467</v>
      </c>
      <c r="B923" s="5">
        <v>43332</v>
      </c>
      <c r="C923" t="s">
        <v>93</v>
      </c>
      <c r="D923" s="40">
        <v>1656</v>
      </c>
    </row>
    <row r="924" spans="1:4" x14ac:dyDescent="0.25">
      <c r="A924">
        <v>808</v>
      </c>
      <c r="B924" s="5">
        <v>43400</v>
      </c>
      <c r="C924" t="s">
        <v>92</v>
      </c>
      <c r="D924" s="40">
        <v>1124</v>
      </c>
    </row>
    <row r="925" spans="1:4" x14ac:dyDescent="0.25">
      <c r="A925">
        <v>825</v>
      </c>
      <c r="B925" s="5">
        <v>43404</v>
      </c>
      <c r="C925" t="s">
        <v>93</v>
      </c>
      <c r="D925" s="40">
        <v>1983</v>
      </c>
    </row>
    <row r="926" spans="1:4" x14ac:dyDescent="0.25">
      <c r="A926">
        <v>200</v>
      </c>
      <c r="B926" s="5">
        <v>43285</v>
      </c>
      <c r="C926" t="s">
        <v>93</v>
      </c>
      <c r="D926" s="40">
        <v>807</v>
      </c>
    </row>
    <row r="927" spans="1:4" x14ac:dyDescent="0.25">
      <c r="A927">
        <v>233</v>
      </c>
      <c r="B927" s="5">
        <v>43290</v>
      </c>
      <c r="C927" t="s">
        <v>94</v>
      </c>
      <c r="D927" s="40">
        <v>740</v>
      </c>
    </row>
    <row r="928" spans="1:4" x14ac:dyDescent="0.25">
      <c r="A928">
        <v>838</v>
      </c>
      <c r="B928" s="5">
        <v>43407</v>
      </c>
      <c r="C928" t="s">
        <v>93</v>
      </c>
      <c r="D928" s="40">
        <v>828</v>
      </c>
    </row>
    <row r="929" spans="1:4" x14ac:dyDescent="0.25">
      <c r="A929">
        <v>550</v>
      </c>
      <c r="B929" s="5">
        <v>43347</v>
      </c>
      <c r="C929" t="s">
        <v>92</v>
      </c>
      <c r="D929" s="40">
        <v>928</v>
      </c>
    </row>
    <row r="930" spans="1:4" x14ac:dyDescent="0.25">
      <c r="A930">
        <v>856</v>
      </c>
      <c r="B930" s="5">
        <v>43410</v>
      </c>
      <c r="C930" t="s">
        <v>92</v>
      </c>
      <c r="D930" s="40">
        <v>998</v>
      </c>
    </row>
    <row r="931" spans="1:4" x14ac:dyDescent="0.25">
      <c r="A931">
        <v>886</v>
      </c>
      <c r="B931" s="5">
        <v>43415</v>
      </c>
      <c r="C931" t="s">
        <v>92</v>
      </c>
      <c r="D931" s="40">
        <v>1249</v>
      </c>
    </row>
    <row r="932" spans="1:4" x14ac:dyDescent="0.25">
      <c r="A932">
        <v>991</v>
      </c>
      <c r="B932" s="5">
        <v>43433</v>
      </c>
      <c r="C932" t="s">
        <v>92</v>
      </c>
      <c r="D932" s="40">
        <v>882</v>
      </c>
    </row>
    <row r="933" spans="1:4" x14ac:dyDescent="0.25">
      <c r="A933">
        <v>715</v>
      </c>
      <c r="B933" s="5">
        <v>43383</v>
      </c>
      <c r="C933" t="s">
        <v>94</v>
      </c>
      <c r="D933" s="40">
        <v>1495</v>
      </c>
    </row>
    <row r="934" spans="1:4" x14ac:dyDescent="0.25">
      <c r="A934">
        <v>435</v>
      </c>
      <c r="B934" s="5">
        <v>43327</v>
      </c>
      <c r="C934" t="s">
        <v>92</v>
      </c>
      <c r="D934" s="40">
        <v>1908</v>
      </c>
    </row>
    <row r="935" spans="1:4" x14ac:dyDescent="0.25">
      <c r="A935">
        <v>783</v>
      </c>
      <c r="B935" s="5">
        <v>43394</v>
      </c>
      <c r="C935" t="s">
        <v>94</v>
      </c>
      <c r="D935" s="40">
        <v>1215</v>
      </c>
    </row>
    <row r="936" spans="1:4" x14ac:dyDescent="0.25">
      <c r="A936">
        <v>180</v>
      </c>
      <c r="B936" s="5">
        <v>43282</v>
      </c>
      <c r="C936" t="s">
        <v>93</v>
      </c>
      <c r="D936" s="40">
        <v>1533</v>
      </c>
    </row>
    <row r="937" spans="1:4" x14ac:dyDescent="0.25">
      <c r="A937">
        <v>179</v>
      </c>
      <c r="B937" s="5">
        <v>43282</v>
      </c>
      <c r="C937" t="s">
        <v>92</v>
      </c>
      <c r="D937" s="40">
        <v>1370</v>
      </c>
    </row>
    <row r="938" spans="1:4" x14ac:dyDescent="0.25">
      <c r="A938">
        <v>261</v>
      </c>
      <c r="B938" s="5">
        <v>43295</v>
      </c>
      <c r="C938" t="s">
        <v>94</v>
      </c>
      <c r="D938" s="40">
        <v>565</v>
      </c>
    </row>
    <row r="939" spans="1:4" x14ac:dyDescent="0.25">
      <c r="A939">
        <v>154</v>
      </c>
      <c r="B939" s="5">
        <v>43276</v>
      </c>
      <c r="C939" t="s">
        <v>93</v>
      </c>
      <c r="D939" s="40">
        <v>562</v>
      </c>
    </row>
    <row r="940" spans="1:4" x14ac:dyDescent="0.25">
      <c r="A940">
        <v>26</v>
      </c>
      <c r="B940" s="5">
        <v>43255</v>
      </c>
      <c r="C940" t="s">
        <v>92</v>
      </c>
      <c r="D940" s="40">
        <v>827</v>
      </c>
    </row>
    <row r="941" spans="1:4" x14ac:dyDescent="0.25">
      <c r="A941">
        <v>241</v>
      </c>
      <c r="B941" s="5">
        <v>43292</v>
      </c>
      <c r="C941" t="s">
        <v>94</v>
      </c>
      <c r="D941" s="40">
        <v>725</v>
      </c>
    </row>
    <row r="942" spans="1:4" x14ac:dyDescent="0.25">
      <c r="A942">
        <v>277</v>
      </c>
      <c r="B942" s="5">
        <v>43297</v>
      </c>
      <c r="C942" t="s">
        <v>92</v>
      </c>
      <c r="D942" s="40">
        <v>593</v>
      </c>
    </row>
    <row r="943" spans="1:4" x14ac:dyDescent="0.25">
      <c r="A943">
        <v>77</v>
      </c>
      <c r="B943" s="5">
        <v>43264</v>
      </c>
      <c r="C943" t="s">
        <v>94</v>
      </c>
      <c r="D943" s="40">
        <v>877</v>
      </c>
    </row>
    <row r="944" spans="1:4" x14ac:dyDescent="0.25">
      <c r="A944">
        <v>627</v>
      </c>
      <c r="B944" s="5">
        <v>43364</v>
      </c>
      <c r="C944" t="s">
        <v>94</v>
      </c>
      <c r="D944" s="40">
        <v>1517</v>
      </c>
    </row>
    <row r="945" spans="1:4" x14ac:dyDescent="0.25">
      <c r="A945">
        <v>785</v>
      </c>
      <c r="B945" s="5">
        <v>43395</v>
      </c>
      <c r="C945" t="s">
        <v>94</v>
      </c>
      <c r="D945" s="40">
        <v>1041</v>
      </c>
    </row>
    <row r="946" spans="1:4" x14ac:dyDescent="0.25">
      <c r="A946">
        <v>949</v>
      </c>
      <c r="B946" s="5">
        <v>43426</v>
      </c>
      <c r="C946" t="s">
        <v>92</v>
      </c>
      <c r="D946" s="40">
        <v>1777</v>
      </c>
    </row>
    <row r="947" spans="1:4" x14ac:dyDescent="0.25">
      <c r="A947">
        <v>62</v>
      </c>
      <c r="B947" s="5">
        <v>43261</v>
      </c>
      <c r="C947" t="s">
        <v>94</v>
      </c>
      <c r="D947" s="40">
        <v>1052</v>
      </c>
    </row>
    <row r="948" spans="1:4" x14ac:dyDescent="0.25">
      <c r="A948">
        <v>992</v>
      </c>
      <c r="B948" s="5">
        <v>43434</v>
      </c>
      <c r="C948" t="s">
        <v>92</v>
      </c>
      <c r="D948" s="40">
        <v>755</v>
      </c>
    </row>
    <row r="949" spans="1:4" x14ac:dyDescent="0.25">
      <c r="A949">
        <v>773</v>
      </c>
      <c r="B949" s="5">
        <v>43392</v>
      </c>
      <c r="C949" t="s">
        <v>92</v>
      </c>
      <c r="D949" s="40">
        <v>1356</v>
      </c>
    </row>
    <row r="950" spans="1:4" x14ac:dyDescent="0.25">
      <c r="A950">
        <v>713</v>
      </c>
      <c r="B950" s="5">
        <v>43383</v>
      </c>
      <c r="C950" t="s">
        <v>92</v>
      </c>
      <c r="D950" s="40">
        <v>1788</v>
      </c>
    </row>
    <row r="951" spans="1:4" x14ac:dyDescent="0.25">
      <c r="A951">
        <v>760</v>
      </c>
      <c r="B951" s="5">
        <v>43390</v>
      </c>
      <c r="C951" t="s">
        <v>92</v>
      </c>
      <c r="D951" s="40">
        <v>1014</v>
      </c>
    </row>
    <row r="952" spans="1:4" x14ac:dyDescent="0.25">
      <c r="A952">
        <v>423</v>
      </c>
      <c r="B952" s="5">
        <v>43324</v>
      </c>
      <c r="C952" t="s">
        <v>94</v>
      </c>
      <c r="D952" s="40">
        <v>673</v>
      </c>
    </row>
    <row r="953" spans="1:4" x14ac:dyDescent="0.25">
      <c r="A953">
        <v>30</v>
      </c>
      <c r="B953" s="5">
        <v>43256</v>
      </c>
      <c r="C953" t="s">
        <v>92</v>
      </c>
      <c r="D953" s="40">
        <v>1637</v>
      </c>
    </row>
    <row r="954" spans="1:4" x14ac:dyDescent="0.25">
      <c r="A954">
        <v>608</v>
      </c>
      <c r="B954" s="5">
        <v>43358</v>
      </c>
      <c r="C954" t="s">
        <v>93</v>
      </c>
      <c r="D954" s="40">
        <v>1116</v>
      </c>
    </row>
    <row r="955" spans="1:4" x14ac:dyDescent="0.25">
      <c r="A955">
        <v>585</v>
      </c>
      <c r="B955" s="5">
        <v>43354</v>
      </c>
      <c r="C955" t="s">
        <v>93</v>
      </c>
      <c r="D955" s="40">
        <v>565</v>
      </c>
    </row>
    <row r="956" spans="1:4" x14ac:dyDescent="0.25">
      <c r="A956">
        <v>748</v>
      </c>
      <c r="B956" s="5">
        <v>43388</v>
      </c>
      <c r="C956" t="s">
        <v>94</v>
      </c>
      <c r="D956" s="40">
        <v>1686</v>
      </c>
    </row>
    <row r="957" spans="1:4" x14ac:dyDescent="0.25">
      <c r="A957">
        <v>485</v>
      </c>
      <c r="B957" s="5">
        <v>43334</v>
      </c>
      <c r="C957" t="s">
        <v>94</v>
      </c>
      <c r="D957" s="40">
        <v>983</v>
      </c>
    </row>
    <row r="958" spans="1:4" x14ac:dyDescent="0.25">
      <c r="A958">
        <v>344</v>
      </c>
      <c r="B958" s="5">
        <v>43309</v>
      </c>
      <c r="C958" t="s">
        <v>92</v>
      </c>
      <c r="D958" s="40">
        <v>1553</v>
      </c>
    </row>
    <row r="959" spans="1:4" x14ac:dyDescent="0.25">
      <c r="A959">
        <v>322</v>
      </c>
      <c r="B959" s="5">
        <v>43304</v>
      </c>
      <c r="C959" t="s">
        <v>94</v>
      </c>
      <c r="D959" s="40">
        <v>1397</v>
      </c>
    </row>
    <row r="960" spans="1:4" x14ac:dyDescent="0.25">
      <c r="A960">
        <v>908</v>
      </c>
      <c r="B960" s="5">
        <v>43419</v>
      </c>
      <c r="C960" t="s">
        <v>92</v>
      </c>
      <c r="D960" s="40">
        <v>1964</v>
      </c>
    </row>
    <row r="961" spans="1:4" x14ac:dyDescent="0.25">
      <c r="A961">
        <v>10</v>
      </c>
      <c r="B961" s="5">
        <v>43253</v>
      </c>
      <c r="C961" t="s">
        <v>92</v>
      </c>
      <c r="D961" s="40">
        <v>819</v>
      </c>
    </row>
    <row r="962" spans="1:4" x14ac:dyDescent="0.25">
      <c r="A962">
        <v>469</v>
      </c>
      <c r="B962" s="5">
        <v>43332</v>
      </c>
      <c r="C962" t="s">
        <v>93</v>
      </c>
      <c r="D962" s="40">
        <v>1985</v>
      </c>
    </row>
    <row r="963" spans="1:4" x14ac:dyDescent="0.25">
      <c r="A963">
        <v>473</v>
      </c>
      <c r="B963" s="5">
        <v>43333</v>
      </c>
      <c r="C963" t="s">
        <v>94</v>
      </c>
      <c r="D963" s="40">
        <v>1374</v>
      </c>
    </row>
    <row r="964" spans="1:4" x14ac:dyDescent="0.25">
      <c r="A964">
        <v>717</v>
      </c>
      <c r="B964" s="5">
        <v>43383</v>
      </c>
      <c r="C964" t="s">
        <v>93</v>
      </c>
      <c r="D964" s="40">
        <v>645</v>
      </c>
    </row>
    <row r="965" spans="1:4" x14ac:dyDescent="0.25">
      <c r="A965">
        <v>68</v>
      </c>
      <c r="B965" s="5">
        <v>43263</v>
      </c>
      <c r="C965" t="s">
        <v>92</v>
      </c>
      <c r="D965" s="40">
        <v>1134</v>
      </c>
    </row>
    <row r="966" spans="1:4" x14ac:dyDescent="0.25">
      <c r="A966">
        <v>274</v>
      </c>
      <c r="B966" s="5">
        <v>43296</v>
      </c>
      <c r="C966" t="s">
        <v>93</v>
      </c>
      <c r="D966" s="40">
        <v>1150</v>
      </c>
    </row>
    <row r="967" spans="1:4" x14ac:dyDescent="0.25">
      <c r="A967">
        <v>492</v>
      </c>
      <c r="B967" s="5">
        <v>43336</v>
      </c>
      <c r="C967" t="s">
        <v>92</v>
      </c>
      <c r="D967" s="40">
        <v>1859</v>
      </c>
    </row>
    <row r="968" spans="1:4" x14ac:dyDescent="0.25">
      <c r="A968">
        <v>387</v>
      </c>
      <c r="B968" s="5">
        <v>43317</v>
      </c>
      <c r="C968" t="s">
        <v>92</v>
      </c>
      <c r="D968" s="40">
        <v>1605</v>
      </c>
    </row>
    <row r="969" spans="1:4" x14ac:dyDescent="0.25">
      <c r="A969">
        <v>31</v>
      </c>
      <c r="B969" s="5">
        <v>43256</v>
      </c>
      <c r="C969" t="s">
        <v>93</v>
      </c>
      <c r="D969" s="40">
        <v>1748</v>
      </c>
    </row>
    <row r="970" spans="1:4" x14ac:dyDescent="0.25">
      <c r="A970">
        <v>454</v>
      </c>
      <c r="B970" s="5">
        <v>43330</v>
      </c>
      <c r="C970" t="s">
        <v>93</v>
      </c>
      <c r="D970" s="40">
        <v>1822</v>
      </c>
    </row>
    <row r="971" spans="1:4" x14ac:dyDescent="0.25">
      <c r="A971">
        <v>502</v>
      </c>
      <c r="B971" s="5">
        <v>43339</v>
      </c>
      <c r="C971" t="s">
        <v>94</v>
      </c>
      <c r="D971" s="40">
        <v>732</v>
      </c>
    </row>
    <row r="972" spans="1:4" x14ac:dyDescent="0.25">
      <c r="A972">
        <v>599</v>
      </c>
      <c r="B972" s="5">
        <v>43356</v>
      </c>
      <c r="C972" t="s">
        <v>92</v>
      </c>
      <c r="D972" s="40">
        <v>1472</v>
      </c>
    </row>
    <row r="973" spans="1:4" x14ac:dyDescent="0.25">
      <c r="A973">
        <v>901</v>
      </c>
      <c r="B973" s="5">
        <v>43418</v>
      </c>
      <c r="C973" t="s">
        <v>92</v>
      </c>
      <c r="D973" s="40">
        <v>1226</v>
      </c>
    </row>
    <row r="974" spans="1:4" x14ac:dyDescent="0.25">
      <c r="A974">
        <v>818</v>
      </c>
      <c r="B974" s="5">
        <v>43402</v>
      </c>
      <c r="C974" t="s">
        <v>93</v>
      </c>
      <c r="D974" s="40">
        <v>1330</v>
      </c>
    </row>
    <row r="975" spans="1:4" x14ac:dyDescent="0.25">
      <c r="A975">
        <v>849</v>
      </c>
      <c r="B975" s="5">
        <v>43409</v>
      </c>
      <c r="C975" t="s">
        <v>94</v>
      </c>
      <c r="D975" s="40">
        <v>1261</v>
      </c>
    </row>
    <row r="976" spans="1:4" x14ac:dyDescent="0.25">
      <c r="A976">
        <v>326</v>
      </c>
      <c r="B976" s="5">
        <v>43305</v>
      </c>
      <c r="C976" t="s">
        <v>93</v>
      </c>
      <c r="D976" s="40">
        <v>1980</v>
      </c>
    </row>
    <row r="977" spans="1:4" x14ac:dyDescent="0.25">
      <c r="A977">
        <v>64</v>
      </c>
      <c r="B977" s="5">
        <v>43261</v>
      </c>
      <c r="C977" t="s">
        <v>92</v>
      </c>
      <c r="D977" s="40">
        <v>1954</v>
      </c>
    </row>
    <row r="978" spans="1:4" x14ac:dyDescent="0.25">
      <c r="A978">
        <v>76</v>
      </c>
      <c r="B978" s="5">
        <v>43264</v>
      </c>
      <c r="C978" t="s">
        <v>92</v>
      </c>
      <c r="D978" s="40">
        <v>1155</v>
      </c>
    </row>
    <row r="979" spans="1:4" x14ac:dyDescent="0.25">
      <c r="A979">
        <v>54</v>
      </c>
      <c r="B979" s="5">
        <v>43260</v>
      </c>
      <c r="C979" t="s">
        <v>92</v>
      </c>
      <c r="D979" s="40">
        <v>1019</v>
      </c>
    </row>
    <row r="980" spans="1:4" x14ac:dyDescent="0.25">
      <c r="A980">
        <v>767</v>
      </c>
      <c r="B980" s="5">
        <v>43392</v>
      </c>
      <c r="C980" t="s">
        <v>94</v>
      </c>
      <c r="D980" s="40">
        <v>1072</v>
      </c>
    </row>
    <row r="981" spans="1:4" x14ac:dyDescent="0.25">
      <c r="A981">
        <v>489</v>
      </c>
      <c r="B981" s="5">
        <v>43335</v>
      </c>
      <c r="C981" t="s">
        <v>94</v>
      </c>
      <c r="D981" s="40">
        <v>1465</v>
      </c>
    </row>
    <row r="982" spans="1:4" x14ac:dyDescent="0.25">
      <c r="A982">
        <v>43</v>
      </c>
      <c r="B982" s="5">
        <v>43258</v>
      </c>
      <c r="C982" t="s">
        <v>93</v>
      </c>
      <c r="D982" s="40">
        <v>1381</v>
      </c>
    </row>
    <row r="983" spans="1:4" x14ac:dyDescent="0.25">
      <c r="A983">
        <v>463</v>
      </c>
      <c r="B983" s="5">
        <v>43332</v>
      </c>
      <c r="C983" t="s">
        <v>93</v>
      </c>
      <c r="D983" s="40">
        <v>924</v>
      </c>
    </row>
    <row r="984" spans="1:4" x14ac:dyDescent="0.25">
      <c r="A984">
        <v>831</v>
      </c>
      <c r="B984" s="5">
        <v>43405</v>
      </c>
      <c r="C984" t="s">
        <v>92</v>
      </c>
      <c r="D984" s="40">
        <v>1035</v>
      </c>
    </row>
    <row r="985" spans="1:4" x14ac:dyDescent="0.25">
      <c r="A985">
        <v>188</v>
      </c>
      <c r="B985" s="5">
        <v>43283</v>
      </c>
      <c r="C985" t="s">
        <v>92</v>
      </c>
      <c r="D985" s="40">
        <v>1279</v>
      </c>
    </row>
    <row r="986" spans="1:4" x14ac:dyDescent="0.25">
      <c r="A986">
        <v>948</v>
      </c>
      <c r="B986" s="5">
        <v>43426</v>
      </c>
      <c r="C986" t="s">
        <v>92</v>
      </c>
      <c r="D986" s="40">
        <v>776</v>
      </c>
    </row>
    <row r="987" spans="1:4" x14ac:dyDescent="0.25">
      <c r="A987">
        <v>840</v>
      </c>
      <c r="B987" s="5">
        <v>43407</v>
      </c>
      <c r="C987" t="s">
        <v>92</v>
      </c>
      <c r="D987" s="40">
        <v>1614</v>
      </c>
    </row>
    <row r="988" spans="1:4" x14ac:dyDescent="0.25">
      <c r="A988">
        <v>962</v>
      </c>
      <c r="B988" s="5">
        <v>43428</v>
      </c>
      <c r="C988" t="s">
        <v>92</v>
      </c>
      <c r="D988" s="40">
        <v>877</v>
      </c>
    </row>
    <row r="989" spans="1:4" x14ac:dyDescent="0.25">
      <c r="A989">
        <v>640</v>
      </c>
      <c r="B989" s="5">
        <v>43365</v>
      </c>
      <c r="C989" t="s">
        <v>94</v>
      </c>
      <c r="D989" s="40">
        <v>598</v>
      </c>
    </row>
    <row r="990" spans="1:4" x14ac:dyDescent="0.25">
      <c r="A990">
        <v>615</v>
      </c>
      <c r="B990" s="5">
        <v>43361</v>
      </c>
      <c r="C990" t="s">
        <v>94</v>
      </c>
      <c r="D990" s="40">
        <v>1964</v>
      </c>
    </row>
    <row r="991" spans="1:4" x14ac:dyDescent="0.25">
      <c r="A991">
        <v>477</v>
      </c>
      <c r="B991" s="5">
        <v>43333</v>
      </c>
      <c r="C991" t="s">
        <v>94</v>
      </c>
      <c r="D991" s="40">
        <v>1919</v>
      </c>
    </row>
    <row r="992" spans="1:4" x14ac:dyDescent="0.25">
      <c r="A992">
        <v>152</v>
      </c>
      <c r="B992" s="5">
        <v>43276</v>
      </c>
      <c r="C992" t="s">
        <v>93</v>
      </c>
      <c r="D992" s="40">
        <v>1169</v>
      </c>
    </row>
    <row r="993" spans="1:4" x14ac:dyDescent="0.25">
      <c r="A993">
        <v>936</v>
      </c>
      <c r="B993" s="5">
        <v>43423</v>
      </c>
      <c r="C993" t="s">
        <v>94</v>
      </c>
      <c r="D993" s="40">
        <v>781</v>
      </c>
    </row>
    <row r="994" spans="1:4" x14ac:dyDescent="0.25">
      <c r="A994">
        <v>225</v>
      </c>
      <c r="B994" s="5">
        <v>43288</v>
      </c>
      <c r="C994" t="s">
        <v>92</v>
      </c>
      <c r="D994" s="40">
        <v>1759</v>
      </c>
    </row>
    <row r="995" spans="1:4" x14ac:dyDescent="0.25">
      <c r="A995">
        <v>890</v>
      </c>
      <c r="B995" s="5">
        <v>43416</v>
      </c>
      <c r="C995" t="s">
        <v>93</v>
      </c>
      <c r="D995" s="40">
        <v>1542</v>
      </c>
    </row>
    <row r="996" spans="1:4" x14ac:dyDescent="0.25">
      <c r="A996">
        <v>427</v>
      </c>
      <c r="B996" s="5">
        <v>43325</v>
      </c>
      <c r="C996" t="s">
        <v>92</v>
      </c>
      <c r="D996" s="40">
        <v>510</v>
      </c>
    </row>
    <row r="997" spans="1:4" x14ac:dyDescent="0.25">
      <c r="A997">
        <v>993</v>
      </c>
      <c r="B997" s="5">
        <v>43434</v>
      </c>
      <c r="C997" t="s">
        <v>94</v>
      </c>
      <c r="D997" s="40">
        <v>858</v>
      </c>
    </row>
    <row r="998" spans="1:4" x14ac:dyDescent="0.25">
      <c r="A998">
        <v>862</v>
      </c>
      <c r="B998" s="5">
        <v>43411</v>
      </c>
      <c r="C998" t="s">
        <v>92</v>
      </c>
      <c r="D998" s="40">
        <v>1615</v>
      </c>
    </row>
    <row r="999" spans="1:4" x14ac:dyDescent="0.25">
      <c r="A999">
        <v>438</v>
      </c>
      <c r="B999" s="5">
        <v>43327</v>
      </c>
      <c r="C999" t="s">
        <v>92</v>
      </c>
      <c r="D999" s="40">
        <v>1133</v>
      </c>
    </row>
    <row r="1000" spans="1:4" x14ac:dyDescent="0.25">
      <c r="A1000">
        <v>246</v>
      </c>
      <c r="B1000" s="5">
        <v>43292</v>
      </c>
      <c r="C1000" t="s">
        <v>94</v>
      </c>
      <c r="D1000" s="40">
        <v>651</v>
      </c>
    </row>
    <row r="1001" spans="1:4" x14ac:dyDescent="0.25">
      <c r="A1001">
        <v>676</v>
      </c>
      <c r="B1001" s="5">
        <v>43373</v>
      </c>
      <c r="C1001" t="s">
        <v>94</v>
      </c>
      <c r="D1001" s="40">
        <v>657</v>
      </c>
    </row>
    <row r="1002" spans="1:4" x14ac:dyDescent="0.25">
      <c r="A1002">
        <v>481</v>
      </c>
      <c r="B1002" s="5">
        <v>43334</v>
      </c>
      <c r="C1002" t="s">
        <v>92</v>
      </c>
      <c r="D1002" s="40">
        <v>527</v>
      </c>
    </row>
    <row r="1003" spans="1:4" x14ac:dyDescent="0.25">
      <c r="A1003">
        <v>616</v>
      </c>
      <c r="B1003" s="5">
        <v>43361</v>
      </c>
      <c r="C1003" t="s">
        <v>93</v>
      </c>
      <c r="D1003" s="40">
        <v>957</v>
      </c>
    </row>
    <row r="1004" spans="1:4" x14ac:dyDescent="0.25">
      <c r="A1004">
        <v>858</v>
      </c>
      <c r="B1004" s="5">
        <v>43410</v>
      </c>
      <c r="C1004" t="s">
        <v>92</v>
      </c>
      <c r="D1004" s="40">
        <v>543</v>
      </c>
    </row>
    <row r="1005" spans="1:4" x14ac:dyDescent="0.25">
      <c r="A1005">
        <v>826</v>
      </c>
      <c r="B1005" s="5">
        <v>43404</v>
      </c>
      <c r="C1005" t="s">
        <v>92</v>
      </c>
      <c r="D1005" s="40">
        <v>1386</v>
      </c>
    </row>
    <row r="1006" spans="1:4" x14ac:dyDescent="0.25">
      <c r="A1006">
        <v>92</v>
      </c>
      <c r="B1006" s="5">
        <v>43266</v>
      </c>
      <c r="C1006" t="s">
        <v>93</v>
      </c>
      <c r="D1006" s="40">
        <v>1490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E9992-47BA-4BBB-9D3B-674338ED58D4}">
  <dimension ref="A1:M22"/>
  <sheetViews>
    <sheetView zoomScaleNormal="100" workbookViewId="0">
      <pane ySplit="1" topLeftCell="A2" activePane="bottomLeft" state="frozen"/>
      <selection activeCell="B2" sqref="B2:B9"/>
      <selection pane="bottomLeft" activeCell="C3" sqref="C3"/>
    </sheetView>
  </sheetViews>
  <sheetFormatPr defaultRowHeight="17.25" x14ac:dyDescent="0.3"/>
  <cols>
    <col min="1" max="1" width="9.140625" style="7"/>
    <col min="2" max="2" width="44.42578125" style="7" bestFit="1" customWidth="1"/>
    <col min="3" max="6" width="14.42578125" style="7" customWidth="1"/>
    <col min="7" max="7" width="34.7109375" style="7" customWidth="1"/>
    <col min="8" max="10" width="14.42578125" style="7" customWidth="1"/>
    <col min="11" max="11" width="13" style="7" bestFit="1" customWidth="1"/>
    <col min="12" max="12" width="9.140625" style="7"/>
    <col min="13" max="13" width="15.5703125" style="7" bestFit="1" customWidth="1"/>
    <col min="14" max="16384" width="9.140625" style="7"/>
  </cols>
  <sheetData>
    <row r="1" spans="1:13" x14ac:dyDescent="0.3">
      <c r="A1" s="14" t="s">
        <v>21</v>
      </c>
      <c r="B1" s="13">
        <v>45884</v>
      </c>
      <c r="C1" s="14">
        <v>45793</v>
      </c>
      <c r="D1" s="14" t="s">
        <v>23</v>
      </c>
      <c r="E1" s="13">
        <v>45822</v>
      </c>
      <c r="F1" s="14" t="s">
        <v>22</v>
      </c>
      <c r="G1" s="14">
        <v>46167</v>
      </c>
      <c r="H1" s="13">
        <v>46240</v>
      </c>
      <c r="I1" s="14">
        <v>45048</v>
      </c>
      <c r="J1" s="14">
        <v>45782</v>
      </c>
    </row>
    <row r="2" spans="1:13" x14ac:dyDescent="0.3">
      <c r="A2" s="11" t="s">
        <v>20</v>
      </c>
      <c r="B2" s="11">
        <v>500</v>
      </c>
      <c r="C2" s="11">
        <v>22</v>
      </c>
      <c r="D2" s="11">
        <v>90</v>
      </c>
      <c r="E2" s="11">
        <v>84</v>
      </c>
      <c r="F2" s="11">
        <v>33</v>
      </c>
      <c r="G2" s="11">
        <v>37</v>
      </c>
      <c r="H2" s="11">
        <v>38</v>
      </c>
      <c r="I2" s="11">
        <v>2</v>
      </c>
      <c r="J2" s="11">
        <v>76</v>
      </c>
    </row>
    <row r="3" spans="1:13" x14ac:dyDescent="0.3">
      <c r="A3" s="11" t="s">
        <v>19</v>
      </c>
      <c r="B3" s="11">
        <v>28</v>
      </c>
      <c r="C3" s="11">
        <v>3</v>
      </c>
      <c r="D3" s="11">
        <v>28</v>
      </c>
      <c r="E3" s="11">
        <v>94</v>
      </c>
      <c r="F3" s="11">
        <v>45</v>
      </c>
      <c r="G3" s="11">
        <v>21</v>
      </c>
      <c r="H3" s="11">
        <v>44</v>
      </c>
      <c r="I3" s="11">
        <v>52</v>
      </c>
      <c r="J3" s="11">
        <v>32</v>
      </c>
    </row>
    <row r="4" spans="1:13" x14ac:dyDescent="0.3">
      <c r="A4" s="11" t="s">
        <v>18</v>
      </c>
      <c r="B4" s="11">
        <v>28</v>
      </c>
      <c r="C4" s="11">
        <v>80</v>
      </c>
      <c r="D4" s="11">
        <v>91</v>
      </c>
      <c r="E4" s="11">
        <v>44</v>
      </c>
      <c r="F4" s="11">
        <v>51</v>
      </c>
      <c r="G4" s="11">
        <v>44</v>
      </c>
      <c r="H4" s="11">
        <v>30</v>
      </c>
      <c r="I4" s="11">
        <v>95</v>
      </c>
      <c r="J4" s="11">
        <v>9</v>
      </c>
    </row>
    <row r="5" spans="1:13" x14ac:dyDescent="0.3">
      <c r="A5" s="11" t="s">
        <v>17</v>
      </c>
      <c r="B5" s="11">
        <v>63</v>
      </c>
      <c r="C5" s="11">
        <v>98</v>
      </c>
      <c r="D5" s="11">
        <v>23</v>
      </c>
      <c r="E5" s="11">
        <v>12</v>
      </c>
      <c r="F5" s="11">
        <v>7</v>
      </c>
      <c r="G5" s="11">
        <v>84</v>
      </c>
      <c r="H5" s="11">
        <v>56</v>
      </c>
      <c r="I5" s="11">
        <v>77</v>
      </c>
      <c r="J5" s="11">
        <v>39</v>
      </c>
      <c r="M5" s="15"/>
    </row>
    <row r="6" spans="1:13" x14ac:dyDescent="0.3">
      <c r="A6" s="11" t="s">
        <v>20</v>
      </c>
      <c r="B6" s="11">
        <v>74</v>
      </c>
      <c r="C6" s="11">
        <v>84</v>
      </c>
      <c r="D6" s="11">
        <v>65</v>
      </c>
      <c r="E6" s="11">
        <v>40</v>
      </c>
      <c r="F6" s="11">
        <v>89</v>
      </c>
      <c r="G6" s="11">
        <v>96</v>
      </c>
      <c r="H6" s="11">
        <v>79</v>
      </c>
      <c r="I6" s="11">
        <v>96</v>
      </c>
      <c r="J6" s="11">
        <v>48</v>
      </c>
    </row>
    <row r="7" spans="1:13" x14ac:dyDescent="0.3">
      <c r="A7" s="11" t="s">
        <v>19</v>
      </c>
      <c r="B7" s="11">
        <v>50</v>
      </c>
      <c r="C7" s="11">
        <v>53</v>
      </c>
      <c r="D7" s="11">
        <v>86</v>
      </c>
      <c r="E7" s="11">
        <v>39</v>
      </c>
      <c r="F7" s="11">
        <v>33</v>
      </c>
      <c r="G7" s="11">
        <v>34</v>
      </c>
      <c r="H7" s="11">
        <v>99</v>
      </c>
      <c r="I7" s="11">
        <v>74</v>
      </c>
      <c r="J7" s="11">
        <v>88</v>
      </c>
    </row>
    <row r="8" spans="1:13" x14ac:dyDescent="0.3">
      <c r="A8" s="11" t="s">
        <v>18</v>
      </c>
      <c r="B8" s="11">
        <v>81</v>
      </c>
      <c r="C8" s="11">
        <v>62</v>
      </c>
      <c r="D8" s="11">
        <v>35</v>
      </c>
      <c r="E8" s="11">
        <v>85</v>
      </c>
      <c r="F8" s="11">
        <v>61</v>
      </c>
      <c r="G8" s="11">
        <v>39</v>
      </c>
      <c r="H8" s="11">
        <v>85</v>
      </c>
      <c r="I8" s="11">
        <v>93</v>
      </c>
      <c r="J8" s="11">
        <v>69</v>
      </c>
    </row>
    <row r="9" spans="1:13" x14ac:dyDescent="0.3">
      <c r="A9" s="11" t="s">
        <v>17</v>
      </c>
      <c r="B9" s="11">
        <v>100</v>
      </c>
      <c r="C9" s="11">
        <v>71</v>
      </c>
      <c r="D9" s="11">
        <v>72</v>
      </c>
      <c r="E9" s="11">
        <v>43</v>
      </c>
      <c r="F9" s="11">
        <v>99</v>
      </c>
      <c r="G9" s="11">
        <v>94</v>
      </c>
      <c r="H9" s="11">
        <v>32</v>
      </c>
      <c r="I9" s="11">
        <v>63</v>
      </c>
      <c r="J9" s="11">
        <v>43</v>
      </c>
    </row>
    <row r="12" spans="1:13" x14ac:dyDescent="0.3">
      <c r="A12" s="14" t="s">
        <v>21</v>
      </c>
      <c r="B12" s="13">
        <v>45884</v>
      </c>
      <c r="C12" s="13">
        <v>45822</v>
      </c>
      <c r="D12" s="13">
        <v>46240</v>
      </c>
      <c r="H12" s="14" t="s">
        <v>21</v>
      </c>
      <c r="I12" s="13">
        <v>45884</v>
      </c>
      <c r="J12" s="13">
        <v>45822</v>
      </c>
      <c r="K12" s="13">
        <v>46240</v>
      </c>
    </row>
    <row r="13" spans="1:13" x14ac:dyDescent="0.3">
      <c r="A13" s="11" t="s">
        <v>20</v>
      </c>
      <c r="B13" s="11" cm="1">
        <f t="array" ref="B13">SUMPRODUCT(--($B$2:$J$9)*($B$1:$J$1=B$12)*($A$2:$A$9=$A13))</f>
        <v>574</v>
      </c>
      <c r="C13" s="11" cm="1">
        <f t="array" ref="C13">SUMPRODUCT(--($B$2:$J$9)*($B$1:$J$1=C$12)*($A$2:$A$9=$A13))</f>
        <v>124</v>
      </c>
      <c r="D13" s="11" cm="1">
        <f t="array" ref="D13">SUMPRODUCT(--($B$2:$J$9)*($B$1:$J$1=D$12)*($A$2:$A$9=$A13))</f>
        <v>117</v>
      </c>
      <c r="H13" s="11" t="s">
        <v>20</v>
      </c>
      <c r="I13" s="11">
        <f>SUM(_xlfn.XLOOKUP($H13,$A$2:$A$9,$B$2:$J$9))</f>
        <v>882</v>
      </c>
      <c r="J13" s="11"/>
      <c r="K13" s="11"/>
    </row>
    <row r="14" spans="1:13" x14ac:dyDescent="0.3">
      <c r="A14" s="11" t="s">
        <v>19</v>
      </c>
      <c r="B14" s="11" cm="1">
        <f t="array" ref="B14">SUMPRODUCT(--($B$2:$J$9)*($B$1:$J$1=B$12)*($A$2:$A$9=$A14))</f>
        <v>78</v>
      </c>
      <c r="C14" s="11" cm="1">
        <f t="array" ref="C14">SUMPRODUCT(--($B$2:$J$9)*($B$1:$J$1=C$12)*($A$2:$A$9=$A14))</f>
        <v>133</v>
      </c>
      <c r="D14" s="11" cm="1">
        <f t="array" ref="D14">SUMPRODUCT(--($B$2:$J$9)*($B$1:$J$1=D$12)*($A$2:$A$9=$A14))</f>
        <v>143</v>
      </c>
      <c r="H14" s="11" t="s">
        <v>19</v>
      </c>
      <c r="I14" s="11">
        <f>SUM(_xlfn.XLOOKUP($H14,$A$2:$A$9,$B$2:$J$9))</f>
        <v>347</v>
      </c>
      <c r="J14" s="11"/>
      <c r="K14" s="11"/>
    </row>
    <row r="15" spans="1:13" x14ac:dyDescent="0.3">
      <c r="A15" s="11" t="s">
        <v>18</v>
      </c>
      <c r="B15" s="11" cm="1">
        <f t="array" ref="B15">SUMPRODUCT(--($B$2:$J$9)*($B$1:$J$1=B$12)*($A$2:$A$9=$A15))</f>
        <v>109</v>
      </c>
      <c r="C15" s="11" cm="1">
        <f t="array" ref="C15">SUMPRODUCT(--($B$2:$J$9)*($B$1:$J$1=C$12)*($A$2:$A$9=$A15))</f>
        <v>129</v>
      </c>
      <c r="D15" s="11" cm="1">
        <f t="array" ref="D15">SUMPRODUCT(--($B$2:$J$9)*($B$1:$J$1=D$12)*($A$2:$A$9=$A15))</f>
        <v>115</v>
      </c>
      <c r="H15" s="11" t="s">
        <v>18</v>
      </c>
      <c r="I15" s="11">
        <f>SUM(_xlfn.XLOOKUP($H15,$A$2:$A$9,$B$2:$J$9))</f>
        <v>472</v>
      </c>
      <c r="J15" s="11"/>
      <c r="K15" s="11"/>
    </row>
    <row r="16" spans="1:13" x14ac:dyDescent="0.3">
      <c r="A16" s="11" t="s">
        <v>17</v>
      </c>
      <c r="B16" s="11" cm="1">
        <f t="array" ref="B16">SUMPRODUCT(--($B$2:$J$9)*($B$1:$J$1=B$12)*($A$2:$A$9=$A16))</f>
        <v>163</v>
      </c>
      <c r="C16" s="11" cm="1">
        <f t="array" ref="C16">SUMPRODUCT(--($B$2:$J$9)*($B$1:$J$1=C$12)*($A$2:$A$9=$A16))</f>
        <v>55</v>
      </c>
      <c r="D16" s="11" cm="1">
        <f t="array" ref="D16">SUMPRODUCT(--($B$2:$J$9)*($B$1:$J$1=D$12)*($A$2:$A$9=$A16))</f>
        <v>88</v>
      </c>
      <c r="H16" s="11" t="s">
        <v>17</v>
      </c>
      <c r="I16" s="11">
        <f>SUM(_xlfn.XLOOKUP($H16,$A$2:$A$9,$B$2:$J$9))</f>
        <v>459</v>
      </c>
      <c r="J16" s="11"/>
      <c r="K16" s="11"/>
    </row>
    <row r="19" spans="2:8" ht="19.5" x14ac:dyDescent="0.3">
      <c r="B19" s="12" t="s">
        <v>16</v>
      </c>
      <c r="C19" s="10">
        <f ca="1">EOMONTH(D19,0)</f>
        <v>46326</v>
      </c>
      <c r="D19" s="10">
        <f ca="1">TODAY()</f>
        <v>46304</v>
      </c>
      <c r="E19" s="11">
        <f ca="1">DAY(D19)</f>
        <v>9</v>
      </c>
      <c r="F19" s="10">
        <f ca="1">C19+E19</f>
        <v>46335</v>
      </c>
      <c r="G19" s="9">
        <f ca="1">EOMONTH(TODAY(),0)+DAY(TODAY())</f>
        <v>46335</v>
      </c>
    </row>
    <row r="20" spans="2:8" x14ac:dyDescent="0.3">
      <c r="H20" s="8"/>
    </row>
    <row r="22" spans="2:8" x14ac:dyDescent="0.3">
      <c r="G22" s="8"/>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B3082-7C5F-4ED6-97D3-724BFD7F5186}">
  <dimension ref="A1:T8"/>
  <sheetViews>
    <sheetView workbookViewId="0">
      <selection activeCell="B2" sqref="B2:B9"/>
    </sheetView>
  </sheetViews>
  <sheetFormatPr defaultRowHeight="15" x14ac:dyDescent="0.25"/>
  <cols>
    <col min="8" max="8" width="10.5703125" bestFit="1" customWidth="1"/>
    <col min="9" max="9" width="9.85546875" bestFit="1" customWidth="1"/>
    <col min="13" max="13" width="19.140625" customWidth="1"/>
  </cols>
  <sheetData>
    <row r="1" spans="1:20" x14ac:dyDescent="0.25">
      <c r="A1" s="16" t="s">
        <v>46</v>
      </c>
      <c r="B1" s="16" t="s">
        <v>45</v>
      </c>
      <c r="C1" s="16" t="s">
        <v>44</v>
      </c>
      <c r="D1" s="16" t="s">
        <v>43</v>
      </c>
      <c r="H1" s="16" t="s">
        <v>42</v>
      </c>
      <c r="I1" s="16" t="s">
        <v>41</v>
      </c>
      <c r="J1" s="16" t="s">
        <v>40</v>
      </c>
    </row>
    <row r="2" spans="1:20" ht="17.25" x14ac:dyDescent="0.3">
      <c r="A2" s="1">
        <v>1</v>
      </c>
      <c r="B2" s="1" t="s">
        <v>37</v>
      </c>
      <c r="C2" s="1" t="s">
        <v>24</v>
      </c>
      <c r="D2" s="11">
        <v>500</v>
      </c>
      <c r="E2" cm="1">
        <f t="array" ref="E2">SUMPRODUCT(--($D$2:$D$8)*($B$2:$B$8=$H2)*($C$2:$C$8=$I2))</f>
        <v>500</v>
      </c>
      <c r="H2" s="1" t="s">
        <v>37</v>
      </c>
      <c r="I2" s="1" t="s">
        <v>24</v>
      </c>
      <c r="J2" s="1">
        <f t="shared" ref="J2:J8" si="0">SUMIFS($D$2:$D$8,$B$2:$B$8,$H2,$C$2:$C$8,$I2)</f>
        <v>500</v>
      </c>
      <c r="M2" t="s">
        <v>39</v>
      </c>
      <c r="O2" t="str">
        <f t="shared" ref="O2:O8" si="1">LEFT(M2,SEARCH(" ",M2)-1)</f>
        <v>tarun</v>
      </c>
      <c r="P2" t="str">
        <f t="shared" ref="P2:P8" si="2">MID(M2,SEARCH(" ",M2)+1,SEARCH(" ",M2))</f>
        <v xml:space="preserve">kumar </v>
      </c>
      <c r="Q2" t="str">
        <f t="shared" ref="Q2:Q8" si="3">RIGHT(M2,SEARCH(" ",M2))</f>
        <v>sharma</v>
      </c>
      <c r="R2" s="1" t="s">
        <v>37</v>
      </c>
      <c r="S2" s="1" t="s">
        <v>24</v>
      </c>
      <c r="T2" s="1" t="s">
        <v>28</v>
      </c>
    </row>
    <row r="3" spans="1:20" ht="17.25" x14ac:dyDescent="0.3">
      <c r="A3" s="1">
        <v>2</v>
      </c>
      <c r="B3" s="1" t="s">
        <v>37</v>
      </c>
      <c r="C3" s="1" t="s">
        <v>28</v>
      </c>
      <c r="D3" s="11">
        <v>28</v>
      </c>
      <c r="E3" cm="1">
        <f t="array" ref="E3">SUMPRODUCT(--($D$2:$D$8)*($B$2:$B$8=$H3)*($C$2:$C$8=$I3))</f>
        <v>28</v>
      </c>
      <c r="H3" s="1" t="s">
        <v>37</v>
      </c>
      <c r="I3" s="1" t="s">
        <v>28</v>
      </c>
      <c r="J3" s="1">
        <f t="shared" si="0"/>
        <v>28</v>
      </c>
      <c r="M3" t="s">
        <v>38</v>
      </c>
      <c r="O3" t="str">
        <f t="shared" si="1"/>
        <v>tarun</v>
      </c>
      <c r="P3" t="str">
        <f t="shared" si="2"/>
        <v>sharma</v>
      </c>
      <c r="Q3" t="str">
        <f t="shared" si="3"/>
        <v>sharma</v>
      </c>
      <c r="R3" s="1" t="s">
        <v>37</v>
      </c>
      <c r="S3" s="1" t="s">
        <v>28</v>
      </c>
      <c r="T3" s="1"/>
    </row>
    <row r="4" spans="1:20" ht="17.25" x14ac:dyDescent="0.3">
      <c r="A4" s="1">
        <v>3</v>
      </c>
      <c r="B4" s="1" t="s">
        <v>35</v>
      </c>
      <c r="C4" s="1" t="s">
        <v>25</v>
      </c>
      <c r="D4" s="11">
        <v>28</v>
      </c>
      <c r="E4" cm="1">
        <f t="array" ref="E4">SUMPRODUCT(--($D$2:$D$8)*($B$2:$B$8=$H4)*($C$2:$C$8=$I4))</f>
        <v>28</v>
      </c>
      <c r="H4" s="1" t="s">
        <v>35</v>
      </c>
      <c r="I4" s="1" t="s">
        <v>25</v>
      </c>
      <c r="J4" s="1">
        <f t="shared" si="0"/>
        <v>28</v>
      </c>
      <c r="M4" t="s">
        <v>36</v>
      </c>
      <c r="O4" t="str">
        <f t="shared" si="1"/>
        <v>varun</v>
      </c>
      <c r="P4" t="str">
        <f t="shared" si="2"/>
        <v>sharmn</v>
      </c>
      <c r="Q4" t="str">
        <f t="shared" si="3"/>
        <v xml:space="preserve"> kumar</v>
      </c>
      <c r="R4" s="1" t="s">
        <v>35</v>
      </c>
      <c r="S4" s="1" t="s">
        <v>25</v>
      </c>
      <c r="T4" s="1" t="s">
        <v>24</v>
      </c>
    </row>
    <row r="5" spans="1:20" ht="17.25" x14ac:dyDescent="0.3">
      <c r="A5" s="1">
        <v>4</v>
      </c>
      <c r="B5" s="1" t="s">
        <v>33</v>
      </c>
      <c r="C5" s="1" t="s">
        <v>24</v>
      </c>
      <c r="D5" s="11">
        <v>63</v>
      </c>
      <c r="E5" cm="1">
        <f t="array" ref="E5">SUMPRODUCT(--($D$2:$D$8)*($B$2:$B$8=$H5)*($C$2:$C$8=$I5))</f>
        <v>63</v>
      </c>
      <c r="H5" s="1" t="s">
        <v>33</v>
      </c>
      <c r="I5" s="1" t="s">
        <v>24</v>
      </c>
      <c r="J5" s="1">
        <f t="shared" si="0"/>
        <v>63</v>
      </c>
      <c r="M5" t="s">
        <v>34</v>
      </c>
      <c r="O5" t="str">
        <f t="shared" si="1"/>
        <v>karan</v>
      </c>
      <c r="P5" t="str">
        <f t="shared" si="2"/>
        <v xml:space="preserve">kumar </v>
      </c>
      <c r="Q5" t="str">
        <f t="shared" si="3"/>
        <v>sharma</v>
      </c>
      <c r="R5" s="1" t="s">
        <v>33</v>
      </c>
      <c r="S5" s="1" t="s">
        <v>24</v>
      </c>
      <c r="T5" s="1" t="s">
        <v>28</v>
      </c>
    </row>
    <row r="6" spans="1:20" ht="17.25" x14ac:dyDescent="0.3">
      <c r="A6" s="1">
        <v>5</v>
      </c>
      <c r="B6" s="1" t="s">
        <v>31</v>
      </c>
      <c r="C6" s="1" t="s">
        <v>28</v>
      </c>
      <c r="D6" s="11">
        <v>74</v>
      </c>
      <c r="E6" cm="1">
        <f t="array" ref="E6">SUMPRODUCT(--($D$2:$D$8)*($B$2:$B$8=$H6)*($C$2:$C$8=$I6))</f>
        <v>74</v>
      </c>
      <c r="H6" s="1" t="s">
        <v>31</v>
      </c>
      <c r="I6" s="1" t="s">
        <v>28</v>
      </c>
      <c r="J6" s="1">
        <f t="shared" si="0"/>
        <v>74</v>
      </c>
      <c r="M6" t="s">
        <v>32</v>
      </c>
      <c r="O6" t="str">
        <f t="shared" si="1"/>
        <v>chandan</v>
      </c>
      <c r="P6" t="str">
        <f t="shared" si="2"/>
        <v>sharma</v>
      </c>
      <c r="Q6" t="str">
        <f t="shared" si="3"/>
        <v>n sharma</v>
      </c>
      <c r="R6" s="1" t="s">
        <v>31</v>
      </c>
      <c r="S6" s="1" t="s">
        <v>28</v>
      </c>
      <c r="T6" s="1"/>
    </row>
    <row r="7" spans="1:20" ht="17.25" x14ac:dyDescent="0.3">
      <c r="A7" s="1">
        <v>6</v>
      </c>
      <c r="B7" s="1" t="s">
        <v>29</v>
      </c>
      <c r="C7" s="1" t="s">
        <v>24</v>
      </c>
      <c r="D7" s="11">
        <v>50</v>
      </c>
      <c r="E7" cm="1">
        <f t="array" ref="E7">SUMPRODUCT(--($D$2:$D$8)*($B$2:$B$8=$H7)*($C$2:$C$8=$I7))</f>
        <v>50</v>
      </c>
      <c r="H7" s="1" t="s">
        <v>29</v>
      </c>
      <c r="I7" s="1" t="s">
        <v>24</v>
      </c>
      <c r="J7" s="1">
        <f t="shared" si="0"/>
        <v>50</v>
      </c>
      <c r="M7" t="s">
        <v>30</v>
      </c>
      <c r="O7" t="str">
        <f t="shared" si="1"/>
        <v>ashish</v>
      </c>
      <c r="P7" t="str">
        <f t="shared" si="2"/>
        <v>kumar s</v>
      </c>
      <c r="Q7" t="str">
        <f t="shared" si="3"/>
        <v xml:space="preserve"> sharma</v>
      </c>
      <c r="R7" s="1" t="s">
        <v>29</v>
      </c>
      <c r="S7" s="1" t="s">
        <v>24</v>
      </c>
      <c r="T7" s="1" t="s">
        <v>28</v>
      </c>
    </row>
    <row r="8" spans="1:20" ht="17.25" x14ac:dyDescent="0.3">
      <c r="A8" s="1">
        <v>7</v>
      </c>
      <c r="B8" s="1" t="s">
        <v>26</v>
      </c>
      <c r="C8" s="1" t="s">
        <v>25</v>
      </c>
      <c r="D8" s="11">
        <v>81</v>
      </c>
      <c r="E8" cm="1">
        <f t="array" ref="E8">SUMPRODUCT(--($D$2:$D$8)*($B$2:$B$8=$H8)*($C$2:$C$8=$I8))</f>
        <v>81</v>
      </c>
      <c r="H8" s="1" t="s">
        <v>26</v>
      </c>
      <c r="I8" s="1" t="s">
        <v>25</v>
      </c>
      <c r="J8" s="1">
        <f t="shared" si="0"/>
        <v>81</v>
      </c>
      <c r="M8" t="s">
        <v>27</v>
      </c>
      <c r="O8" t="str">
        <f t="shared" si="1"/>
        <v>kajal</v>
      </c>
      <c r="P8" t="str">
        <f t="shared" si="2"/>
        <v>sharmn</v>
      </c>
      <c r="Q8" t="str">
        <f t="shared" si="3"/>
        <v xml:space="preserve"> kumar</v>
      </c>
      <c r="R8" s="1" t="s">
        <v>26</v>
      </c>
      <c r="S8" s="1" t="s">
        <v>25</v>
      </c>
      <c r="T8" s="1" t="s">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AAE0-261A-4AC0-BD4F-330930E93DB4}">
  <dimension ref="A1:R6"/>
  <sheetViews>
    <sheetView workbookViewId="0">
      <selection activeCell="B2" sqref="B2:B9"/>
    </sheetView>
  </sheetViews>
  <sheetFormatPr defaultRowHeight="15" x14ac:dyDescent="0.25"/>
  <cols>
    <col min="7" max="7" width="10.42578125" bestFit="1" customWidth="1"/>
  </cols>
  <sheetData>
    <row r="1" spans="1:18" x14ac:dyDescent="0.25">
      <c r="A1" s="18">
        <f>IF(ROW()=COLUMN(), ROW()^2, "")</f>
        <v>1</v>
      </c>
      <c r="B1" s="20"/>
      <c r="C1" s="20"/>
      <c r="D1" s="20"/>
      <c r="E1" s="20"/>
      <c r="G1" s="19">
        <f>IF(ROW(A1)=COLUMN(A1),ROW(A1)*COLUMN(A1),"NA")</f>
        <v>1</v>
      </c>
      <c r="H1" s="17" t="str">
        <f t="shared" ref="H1:K5" si="0">IF(ROW(B1)=COLUMN(B1),ROW(B1)*COLUMN(B1),"")</f>
        <v/>
      </c>
      <c r="I1" s="17" t="str">
        <f t="shared" si="0"/>
        <v/>
      </c>
      <c r="J1" s="17" t="str">
        <f t="shared" si="0"/>
        <v/>
      </c>
      <c r="K1" s="17" t="str">
        <f t="shared" si="0"/>
        <v/>
      </c>
      <c r="M1" s="17">
        <f t="shared" ref="M1:R6" si="1">ROW(A1)*COLUMN(A1)</f>
        <v>1</v>
      </c>
      <c r="N1" s="18">
        <f t="shared" si="1"/>
        <v>2</v>
      </c>
      <c r="O1" s="18">
        <f t="shared" si="1"/>
        <v>3</v>
      </c>
      <c r="P1" s="18">
        <f t="shared" si="1"/>
        <v>4</v>
      </c>
      <c r="Q1" s="18">
        <f t="shared" si="1"/>
        <v>5</v>
      </c>
      <c r="R1" s="18">
        <f t="shared" si="1"/>
        <v>6</v>
      </c>
    </row>
    <row r="2" spans="1:18" x14ac:dyDescent="0.25">
      <c r="A2" s="20"/>
      <c r="B2" s="18">
        <v>4</v>
      </c>
      <c r="C2" s="20"/>
      <c r="D2" s="20"/>
      <c r="E2" s="20"/>
      <c r="G2" s="17" t="str">
        <f>IF(ROW(A2)=COLUMN(A2),ROW(A2)*COLUMN(A2),"")</f>
        <v/>
      </c>
      <c r="H2" s="19">
        <f t="shared" si="0"/>
        <v>4</v>
      </c>
      <c r="I2" s="17" t="str">
        <f t="shared" si="0"/>
        <v/>
      </c>
      <c r="J2" s="17" t="str">
        <f t="shared" si="0"/>
        <v/>
      </c>
      <c r="K2" s="17" t="str">
        <f t="shared" si="0"/>
        <v/>
      </c>
      <c r="M2" s="18">
        <f t="shared" si="1"/>
        <v>2</v>
      </c>
      <c r="N2" s="17">
        <f t="shared" si="1"/>
        <v>4</v>
      </c>
      <c r="O2" s="18">
        <f t="shared" si="1"/>
        <v>6</v>
      </c>
      <c r="P2" s="18">
        <f t="shared" si="1"/>
        <v>8</v>
      </c>
      <c r="Q2" s="18">
        <f t="shared" si="1"/>
        <v>10</v>
      </c>
      <c r="R2" s="18">
        <f t="shared" si="1"/>
        <v>12</v>
      </c>
    </row>
    <row r="3" spans="1:18" x14ac:dyDescent="0.25">
      <c r="A3" s="20"/>
      <c r="B3" s="20"/>
      <c r="C3" s="18">
        <v>9</v>
      </c>
      <c r="D3" s="20"/>
      <c r="E3" s="20"/>
      <c r="G3" s="17" t="str">
        <f>IF(ROW(A3)=COLUMN(A3),ROW(A3)*COLUMN(A3),"")</f>
        <v/>
      </c>
      <c r="H3" s="17" t="str">
        <f t="shared" si="0"/>
        <v/>
      </c>
      <c r="I3" s="19">
        <f t="shared" si="0"/>
        <v>9</v>
      </c>
      <c r="J3" s="17" t="str">
        <f t="shared" si="0"/>
        <v/>
      </c>
      <c r="K3" s="17" t="str">
        <f t="shared" si="0"/>
        <v/>
      </c>
      <c r="M3" s="18">
        <f t="shared" si="1"/>
        <v>3</v>
      </c>
      <c r="N3" s="18">
        <f t="shared" si="1"/>
        <v>6</v>
      </c>
      <c r="O3" s="17">
        <f t="shared" si="1"/>
        <v>9</v>
      </c>
      <c r="P3" s="18">
        <f t="shared" si="1"/>
        <v>12</v>
      </c>
      <c r="Q3" s="18">
        <f t="shared" si="1"/>
        <v>15</v>
      </c>
      <c r="R3" s="18">
        <f t="shared" si="1"/>
        <v>18</v>
      </c>
    </row>
    <row r="4" spans="1:18" x14ac:dyDescent="0.25">
      <c r="A4" s="20"/>
      <c r="B4" s="20"/>
      <c r="C4" s="20"/>
      <c r="D4" s="18">
        <v>16</v>
      </c>
      <c r="E4" s="20"/>
      <c r="G4" s="17" t="str">
        <f>IF(ROW(A4)=COLUMN(A4),ROW(A4)*COLUMN(A4),"")</f>
        <v/>
      </c>
      <c r="H4" s="17" t="str">
        <f t="shared" si="0"/>
        <v/>
      </c>
      <c r="I4" s="17" t="str">
        <f t="shared" si="0"/>
        <v/>
      </c>
      <c r="J4" s="19">
        <f t="shared" si="0"/>
        <v>16</v>
      </c>
      <c r="K4" s="17" t="str">
        <f t="shared" si="0"/>
        <v/>
      </c>
      <c r="M4" s="18">
        <f t="shared" si="1"/>
        <v>4</v>
      </c>
      <c r="N4" s="18">
        <f t="shared" si="1"/>
        <v>8</v>
      </c>
      <c r="O4" s="18">
        <f t="shared" si="1"/>
        <v>12</v>
      </c>
      <c r="P4" s="17">
        <f t="shared" si="1"/>
        <v>16</v>
      </c>
      <c r="Q4" s="18">
        <f t="shared" si="1"/>
        <v>20</v>
      </c>
      <c r="R4" s="18">
        <f t="shared" si="1"/>
        <v>24</v>
      </c>
    </row>
    <row r="5" spans="1:18" x14ac:dyDescent="0.25">
      <c r="A5" s="20"/>
      <c r="B5" s="20"/>
      <c r="C5" s="20"/>
      <c r="D5" s="20"/>
      <c r="E5" s="18">
        <v>25</v>
      </c>
      <c r="G5" s="17" t="str">
        <f>IF(ROW(A5)=COLUMN(A5),ROW(A5)*COLUMN(A5),"")</f>
        <v/>
      </c>
      <c r="H5" s="17" t="str">
        <f t="shared" si="0"/>
        <v/>
      </c>
      <c r="I5" s="17" t="str">
        <f t="shared" si="0"/>
        <v/>
      </c>
      <c r="J5" s="17" t="str">
        <f t="shared" si="0"/>
        <v/>
      </c>
      <c r="K5" s="19">
        <f t="shared" si="0"/>
        <v>25</v>
      </c>
      <c r="M5" s="18">
        <f t="shared" si="1"/>
        <v>5</v>
      </c>
      <c r="N5" s="18">
        <f t="shared" si="1"/>
        <v>10</v>
      </c>
      <c r="O5" s="18">
        <f t="shared" si="1"/>
        <v>15</v>
      </c>
      <c r="P5" s="18">
        <f t="shared" si="1"/>
        <v>20</v>
      </c>
      <c r="Q5" s="17">
        <f t="shared" si="1"/>
        <v>25</v>
      </c>
      <c r="R5" s="18">
        <f t="shared" si="1"/>
        <v>30</v>
      </c>
    </row>
    <row r="6" spans="1:18" x14ac:dyDescent="0.25">
      <c r="M6" s="18">
        <f t="shared" si="1"/>
        <v>6</v>
      </c>
      <c r="N6" s="18">
        <f t="shared" si="1"/>
        <v>12</v>
      </c>
      <c r="O6" s="18">
        <f t="shared" si="1"/>
        <v>18</v>
      </c>
      <c r="P6" s="18">
        <f t="shared" si="1"/>
        <v>24</v>
      </c>
      <c r="Q6" s="18">
        <f t="shared" si="1"/>
        <v>30</v>
      </c>
      <c r="R6" s="17">
        <f t="shared" si="1"/>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89C15-43D0-455F-A068-35D2B6E1D3F7}">
  <dimension ref="A1:S26"/>
  <sheetViews>
    <sheetView workbookViewId="0">
      <selection activeCell="S1" sqref="S1"/>
    </sheetView>
  </sheetViews>
  <sheetFormatPr defaultRowHeight="15" x14ac:dyDescent="0.25"/>
  <cols>
    <col min="4" max="4" width="15.5703125" customWidth="1"/>
    <col min="5" max="5" width="24.5703125" customWidth="1"/>
    <col min="6" max="6" width="14.42578125" customWidth="1"/>
    <col min="7" max="7" width="16.85546875" customWidth="1"/>
    <col min="8" max="8" width="13.140625" customWidth="1"/>
    <col min="9" max="9" width="15.85546875" customWidth="1"/>
    <col min="10" max="10" width="16.7109375" customWidth="1"/>
    <col min="11" max="11" width="17.42578125" customWidth="1"/>
    <col min="12" max="12" width="9.85546875" customWidth="1"/>
    <col min="13" max="13" width="16.42578125" customWidth="1"/>
    <col min="14" max="14" width="11" customWidth="1"/>
    <col min="15" max="15" width="15.28515625" customWidth="1"/>
    <col min="16" max="16" width="10.140625" bestFit="1" customWidth="1"/>
  </cols>
  <sheetData>
    <row r="1" spans="1:19" x14ac:dyDescent="0.25">
      <c r="A1" s="39" t="s">
        <v>60</v>
      </c>
      <c r="B1" s="37" t="s">
        <v>91</v>
      </c>
      <c r="C1" s="37" t="s">
        <v>59</v>
      </c>
      <c r="D1" s="37" t="s">
        <v>90</v>
      </c>
      <c r="E1" s="37" t="s">
        <v>58</v>
      </c>
      <c r="F1" s="37" t="s">
        <v>57</v>
      </c>
      <c r="G1" s="37" t="s">
        <v>56</v>
      </c>
      <c r="H1" s="37" t="s">
        <v>55</v>
      </c>
      <c r="I1" s="37" t="s">
        <v>54</v>
      </c>
      <c r="J1" s="37" t="s">
        <v>53</v>
      </c>
      <c r="K1" s="37" t="s">
        <v>49</v>
      </c>
      <c r="L1" s="38" t="s">
        <v>48</v>
      </c>
      <c r="M1" s="38" t="s">
        <v>47</v>
      </c>
      <c r="N1" s="37" t="s">
        <v>89</v>
      </c>
      <c r="O1" s="37" t="s">
        <v>52</v>
      </c>
      <c r="P1" s="36" t="s">
        <v>51</v>
      </c>
      <c r="Q1" s="35" t="s">
        <v>50</v>
      </c>
      <c r="S1" t="s">
        <v>79</v>
      </c>
    </row>
    <row r="2" spans="1:19" x14ac:dyDescent="0.25">
      <c r="A2" s="29" t="s">
        <v>70</v>
      </c>
      <c r="B2" s="27">
        <v>2025</v>
      </c>
      <c r="C2" s="27">
        <v>15042000</v>
      </c>
      <c r="D2" s="27" t="s">
        <v>85</v>
      </c>
      <c r="E2" s="27" t="s">
        <v>86</v>
      </c>
      <c r="F2" s="27" t="s">
        <v>83</v>
      </c>
      <c r="G2" s="27" t="s">
        <v>82</v>
      </c>
      <c r="H2" s="27" t="s">
        <v>62</v>
      </c>
      <c r="I2" s="27" t="s">
        <v>81</v>
      </c>
      <c r="J2" s="27" t="s">
        <v>80</v>
      </c>
      <c r="K2" s="27" t="s">
        <v>62</v>
      </c>
      <c r="L2" s="28" t="s">
        <v>61</v>
      </c>
      <c r="M2" s="28" t="s">
        <v>61</v>
      </c>
      <c r="N2" s="27" t="s">
        <v>63</v>
      </c>
      <c r="O2" s="27" t="s">
        <v>62</v>
      </c>
      <c r="P2" s="26">
        <v>45764</v>
      </c>
      <c r="Q2" s="25" t="s">
        <v>61</v>
      </c>
    </row>
    <row r="3" spans="1:19" x14ac:dyDescent="0.25">
      <c r="A3" s="29" t="s">
        <v>70</v>
      </c>
      <c r="B3" s="27">
        <v>2025</v>
      </c>
      <c r="C3" s="27">
        <v>15042000</v>
      </c>
      <c r="D3" s="27" t="s">
        <v>85</v>
      </c>
      <c r="E3" s="27" t="s">
        <v>88</v>
      </c>
      <c r="F3" s="27" t="s">
        <v>83</v>
      </c>
      <c r="G3" s="27" t="s">
        <v>82</v>
      </c>
      <c r="H3" s="27" t="s">
        <v>62</v>
      </c>
      <c r="I3" s="27" t="s">
        <v>81</v>
      </c>
      <c r="J3" s="27" t="s">
        <v>80</v>
      </c>
      <c r="K3" s="27" t="s">
        <v>62</v>
      </c>
      <c r="L3" s="28" t="s">
        <v>61</v>
      </c>
      <c r="M3" s="28" t="s">
        <v>61</v>
      </c>
      <c r="N3" s="27" t="s">
        <v>63</v>
      </c>
      <c r="O3" s="27" t="s">
        <v>62</v>
      </c>
      <c r="P3" s="26">
        <v>45764</v>
      </c>
      <c r="Q3" s="25" t="s">
        <v>61</v>
      </c>
    </row>
    <row r="4" spans="1:19" x14ac:dyDescent="0.25">
      <c r="A4" s="29" t="s">
        <v>70</v>
      </c>
      <c r="B4" s="27">
        <v>2025</v>
      </c>
      <c r="C4" s="27">
        <v>15042000</v>
      </c>
      <c r="D4" s="27" t="s">
        <v>87</v>
      </c>
      <c r="E4" s="27" t="s">
        <v>84</v>
      </c>
      <c r="F4" s="27" t="s">
        <v>83</v>
      </c>
      <c r="G4" s="27" t="s">
        <v>82</v>
      </c>
      <c r="H4" s="27" t="s">
        <v>62</v>
      </c>
      <c r="I4" s="27" t="s">
        <v>81</v>
      </c>
      <c r="J4" s="27" t="s">
        <v>80</v>
      </c>
      <c r="K4" s="27" t="s">
        <v>62</v>
      </c>
      <c r="L4" s="28" t="s">
        <v>61</v>
      </c>
      <c r="M4" s="28" t="s">
        <v>61</v>
      </c>
      <c r="N4" s="27" t="s">
        <v>63</v>
      </c>
      <c r="O4" s="27" t="s">
        <v>62</v>
      </c>
      <c r="P4" s="26">
        <v>45764</v>
      </c>
      <c r="Q4" s="25" t="s">
        <v>61</v>
      </c>
    </row>
    <row r="5" spans="1:19" x14ac:dyDescent="0.25">
      <c r="A5" s="29" t="s">
        <v>70</v>
      </c>
      <c r="B5" s="27">
        <v>2025</v>
      </c>
      <c r="C5" s="27">
        <v>15042000</v>
      </c>
      <c r="D5" s="27" t="s">
        <v>85</v>
      </c>
      <c r="E5" s="27" t="s">
        <v>86</v>
      </c>
      <c r="F5" s="27" t="s">
        <v>83</v>
      </c>
      <c r="G5" s="27" t="s">
        <v>82</v>
      </c>
      <c r="H5" s="27" t="s">
        <v>62</v>
      </c>
      <c r="I5" s="27" t="s">
        <v>81</v>
      </c>
      <c r="J5" s="27" t="s">
        <v>80</v>
      </c>
      <c r="K5" s="27" t="s">
        <v>62</v>
      </c>
      <c r="L5" s="28" t="s">
        <v>61</v>
      </c>
      <c r="M5" s="28" t="s">
        <v>61</v>
      </c>
      <c r="N5" s="27" t="s">
        <v>63</v>
      </c>
      <c r="O5" s="27" t="s">
        <v>62</v>
      </c>
      <c r="P5" s="26">
        <v>45742</v>
      </c>
      <c r="Q5" s="25" t="s">
        <v>61</v>
      </c>
    </row>
    <row r="6" spans="1:19" x14ac:dyDescent="0.25">
      <c r="A6" s="29" t="s">
        <v>70</v>
      </c>
      <c r="B6" s="27">
        <v>2025</v>
      </c>
      <c r="C6" s="27">
        <v>15042000</v>
      </c>
      <c r="D6" s="27" t="s">
        <v>85</v>
      </c>
      <c r="E6" s="27" t="s">
        <v>84</v>
      </c>
      <c r="F6" s="27" t="s">
        <v>83</v>
      </c>
      <c r="G6" s="27" t="s">
        <v>82</v>
      </c>
      <c r="H6" s="27" t="s">
        <v>62</v>
      </c>
      <c r="I6" s="27" t="s">
        <v>81</v>
      </c>
      <c r="J6" s="27" t="s">
        <v>80</v>
      </c>
      <c r="K6" s="27" t="s">
        <v>62</v>
      </c>
      <c r="L6" s="28" t="s">
        <v>61</v>
      </c>
      <c r="M6" s="28" t="s">
        <v>61</v>
      </c>
      <c r="N6" s="27" t="s">
        <v>63</v>
      </c>
      <c r="O6" s="27" t="s">
        <v>62</v>
      </c>
      <c r="P6" s="26">
        <v>45742</v>
      </c>
      <c r="Q6" s="25" t="s">
        <v>61</v>
      </c>
    </row>
    <row r="7" spans="1:19" x14ac:dyDescent="0.25">
      <c r="A7" s="29" t="s">
        <v>70</v>
      </c>
      <c r="B7" s="27">
        <v>2025</v>
      </c>
      <c r="C7" s="27">
        <v>15042000</v>
      </c>
      <c r="D7" s="27" t="s">
        <v>85</v>
      </c>
      <c r="E7" s="27" t="s">
        <v>86</v>
      </c>
      <c r="F7" s="27" t="s">
        <v>83</v>
      </c>
      <c r="G7" s="27" t="s">
        <v>82</v>
      </c>
      <c r="H7" s="27" t="s">
        <v>62</v>
      </c>
      <c r="I7" s="27" t="s">
        <v>81</v>
      </c>
      <c r="J7" s="27" t="s">
        <v>80</v>
      </c>
      <c r="K7" s="27" t="s">
        <v>62</v>
      </c>
      <c r="L7" s="28" t="s">
        <v>61</v>
      </c>
      <c r="M7" s="28" t="s">
        <v>61</v>
      </c>
      <c r="N7" s="27" t="s">
        <v>63</v>
      </c>
      <c r="O7" s="27" t="s">
        <v>62</v>
      </c>
      <c r="P7" s="26">
        <v>45716</v>
      </c>
      <c r="Q7" s="25" t="s">
        <v>61</v>
      </c>
    </row>
    <row r="8" spans="1:19" x14ac:dyDescent="0.25">
      <c r="A8" s="29" t="s">
        <v>70</v>
      </c>
      <c r="B8" s="27">
        <v>2025</v>
      </c>
      <c r="C8" s="27">
        <v>15042000</v>
      </c>
      <c r="D8" s="27" t="s">
        <v>85</v>
      </c>
      <c r="E8" s="27" t="s">
        <v>84</v>
      </c>
      <c r="F8" s="27" t="s">
        <v>83</v>
      </c>
      <c r="G8" s="27" t="s">
        <v>82</v>
      </c>
      <c r="H8" s="27" t="s">
        <v>62</v>
      </c>
      <c r="I8" s="27" t="s">
        <v>81</v>
      </c>
      <c r="J8" s="27" t="s">
        <v>80</v>
      </c>
      <c r="K8" s="27" t="s">
        <v>62</v>
      </c>
      <c r="L8" s="28" t="s">
        <v>61</v>
      </c>
      <c r="M8" s="28" t="s">
        <v>61</v>
      </c>
      <c r="N8" s="27" t="s">
        <v>63</v>
      </c>
      <c r="O8" s="27" t="s">
        <v>62</v>
      </c>
      <c r="P8" s="26">
        <v>45716</v>
      </c>
      <c r="Q8" s="25" t="s">
        <v>61</v>
      </c>
    </row>
    <row r="9" spans="1:19" x14ac:dyDescent="0.25">
      <c r="A9" s="29" t="s">
        <v>70</v>
      </c>
      <c r="B9" s="27">
        <v>2023</v>
      </c>
      <c r="C9" s="27">
        <v>27090000</v>
      </c>
      <c r="D9" s="27" t="s">
        <v>79</v>
      </c>
      <c r="E9" s="27" t="s">
        <v>78</v>
      </c>
      <c r="F9" s="27" t="s">
        <v>77</v>
      </c>
      <c r="G9" s="27" t="s">
        <v>76</v>
      </c>
      <c r="H9" s="27" t="s">
        <v>75</v>
      </c>
      <c r="I9" s="27" t="s">
        <v>74</v>
      </c>
      <c r="J9" s="27" t="s">
        <v>73</v>
      </c>
      <c r="K9" s="27" t="s">
        <v>62</v>
      </c>
      <c r="L9" s="28" t="s">
        <v>61</v>
      </c>
      <c r="M9" s="28" t="s">
        <v>61</v>
      </c>
      <c r="N9" s="27" t="s">
        <v>72</v>
      </c>
      <c r="O9" s="27" t="s">
        <v>71</v>
      </c>
      <c r="P9" s="26">
        <v>45093</v>
      </c>
      <c r="Q9" s="25" t="s">
        <v>61</v>
      </c>
    </row>
    <row r="10" spans="1:19" x14ac:dyDescent="0.25">
      <c r="A10" s="29" t="s">
        <v>70</v>
      </c>
      <c r="B10" s="27">
        <v>2023</v>
      </c>
      <c r="C10" s="27">
        <v>27090000</v>
      </c>
      <c r="D10" s="27" t="s">
        <v>79</v>
      </c>
      <c r="E10" s="27" t="s">
        <v>78</v>
      </c>
      <c r="F10" s="27" t="s">
        <v>77</v>
      </c>
      <c r="G10" s="27" t="s">
        <v>76</v>
      </c>
      <c r="H10" s="27" t="s">
        <v>75</v>
      </c>
      <c r="I10" s="27" t="s">
        <v>74</v>
      </c>
      <c r="J10" s="27" t="s">
        <v>73</v>
      </c>
      <c r="K10" s="27" t="s">
        <v>62</v>
      </c>
      <c r="L10" s="28" t="s">
        <v>61</v>
      </c>
      <c r="M10" s="28" t="s">
        <v>61</v>
      </c>
      <c r="N10" s="27" t="s">
        <v>72</v>
      </c>
      <c r="O10" s="27" t="s">
        <v>71</v>
      </c>
      <c r="P10" s="26">
        <v>45093</v>
      </c>
      <c r="Q10" s="25" t="s">
        <v>61</v>
      </c>
    </row>
    <row r="11" spans="1:19" x14ac:dyDescent="0.25">
      <c r="A11" s="29" t="s">
        <v>70</v>
      </c>
      <c r="B11" s="27">
        <v>2022</v>
      </c>
      <c r="C11" s="27">
        <v>27090000</v>
      </c>
      <c r="D11" s="27" t="s">
        <v>69</v>
      </c>
      <c r="E11" s="27" t="s">
        <v>68</v>
      </c>
      <c r="F11" s="27" t="s">
        <v>67</v>
      </c>
      <c r="G11" s="27" t="s">
        <v>66</v>
      </c>
      <c r="H11" s="27" t="s">
        <v>62</v>
      </c>
      <c r="I11" s="27" t="s">
        <v>65</v>
      </c>
      <c r="J11" s="27" t="s">
        <v>64</v>
      </c>
      <c r="K11" s="27" t="s">
        <v>62</v>
      </c>
      <c r="L11" s="28" t="s">
        <v>61</v>
      </c>
      <c r="M11" s="28" t="s">
        <v>61</v>
      </c>
      <c r="N11" s="27" t="s">
        <v>63</v>
      </c>
      <c r="O11" s="27" t="s">
        <v>62</v>
      </c>
      <c r="P11" s="26">
        <v>44655</v>
      </c>
      <c r="Q11" s="25" t="s">
        <v>61</v>
      </c>
    </row>
    <row r="12" spans="1:19" x14ac:dyDescent="0.25">
      <c r="A12" s="29" t="s">
        <v>70</v>
      </c>
      <c r="B12" s="27">
        <v>2022</v>
      </c>
      <c r="C12" s="27">
        <v>27090000</v>
      </c>
      <c r="D12" s="27" t="s">
        <v>69</v>
      </c>
      <c r="E12" s="27" t="s">
        <v>68</v>
      </c>
      <c r="F12" s="27" t="s">
        <v>67</v>
      </c>
      <c r="G12" s="27" t="s">
        <v>66</v>
      </c>
      <c r="H12" s="27" t="s">
        <v>62</v>
      </c>
      <c r="I12" s="27" t="s">
        <v>65</v>
      </c>
      <c r="J12" s="27" t="s">
        <v>64</v>
      </c>
      <c r="K12" s="27" t="s">
        <v>62</v>
      </c>
      <c r="L12" s="28" t="s">
        <v>61</v>
      </c>
      <c r="M12" s="28" t="s">
        <v>61</v>
      </c>
      <c r="N12" s="27" t="s">
        <v>63</v>
      </c>
      <c r="O12" s="27" t="s">
        <v>62</v>
      </c>
      <c r="P12" s="26">
        <v>44655</v>
      </c>
      <c r="Q12" s="25" t="s">
        <v>61</v>
      </c>
    </row>
    <row r="13" spans="1:19" x14ac:dyDescent="0.25">
      <c r="A13" s="29" t="s">
        <v>70</v>
      </c>
      <c r="B13" s="27">
        <v>2022</v>
      </c>
      <c r="C13" s="27">
        <v>27090000</v>
      </c>
      <c r="D13" s="27" t="s">
        <v>69</v>
      </c>
      <c r="E13" s="27" t="s">
        <v>68</v>
      </c>
      <c r="F13" s="27" t="s">
        <v>67</v>
      </c>
      <c r="G13" s="27" t="s">
        <v>66</v>
      </c>
      <c r="H13" s="27" t="s">
        <v>62</v>
      </c>
      <c r="I13" s="27" t="s">
        <v>65</v>
      </c>
      <c r="J13" s="27" t="s">
        <v>64</v>
      </c>
      <c r="K13" s="27" t="s">
        <v>62</v>
      </c>
      <c r="L13" s="28" t="s">
        <v>61</v>
      </c>
      <c r="M13" s="28" t="s">
        <v>61</v>
      </c>
      <c r="N13" s="27" t="s">
        <v>63</v>
      </c>
      <c r="O13" s="27" t="s">
        <v>62</v>
      </c>
      <c r="P13" s="26">
        <v>44655</v>
      </c>
      <c r="Q13" s="25" t="s">
        <v>61</v>
      </c>
    </row>
    <row r="14" spans="1:19" x14ac:dyDescent="0.25">
      <c r="A14" s="34" t="s">
        <v>70</v>
      </c>
      <c r="B14" s="32">
        <v>2022</v>
      </c>
      <c r="C14" s="32">
        <v>27090000</v>
      </c>
      <c r="D14" s="32" t="s">
        <v>69</v>
      </c>
      <c r="E14" s="32" t="s">
        <v>68</v>
      </c>
      <c r="F14" s="32" t="s">
        <v>67</v>
      </c>
      <c r="G14" s="32" t="s">
        <v>66</v>
      </c>
      <c r="H14" s="32" t="s">
        <v>62</v>
      </c>
      <c r="I14" s="32" t="s">
        <v>65</v>
      </c>
      <c r="J14" s="32" t="s">
        <v>64</v>
      </c>
      <c r="K14" s="32" t="s">
        <v>62</v>
      </c>
      <c r="L14" s="33" t="s">
        <v>61</v>
      </c>
      <c r="M14" s="33" t="s">
        <v>61</v>
      </c>
      <c r="N14" s="32" t="s">
        <v>63</v>
      </c>
      <c r="O14" s="32" t="s">
        <v>62</v>
      </c>
      <c r="P14" s="31">
        <v>44655</v>
      </c>
      <c r="Q14" s="30" t="s">
        <v>61</v>
      </c>
    </row>
    <row r="15" spans="1:19" x14ac:dyDescent="0.25">
      <c r="A15" s="29" t="s">
        <v>70</v>
      </c>
      <c r="B15" s="27">
        <v>2022</v>
      </c>
      <c r="C15" s="27">
        <v>27090000</v>
      </c>
      <c r="D15" s="27" t="s">
        <v>69</v>
      </c>
      <c r="E15" s="27" t="s">
        <v>68</v>
      </c>
      <c r="F15" s="27" t="s">
        <v>67</v>
      </c>
      <c r="G15" s="27" t="s">
        <v>66</v>
      </c>
      <c r="H15" s="27" t="s">
        <v>62</v>
      </c>
      <c r="I15" s="27" t="s">
        <v>65</v>
      </c>
      <c r="J15" s="27" t="s">
        <v>64</v>
      </c>
      <c r="K15" s="27" t="s">
        <v>62</v>
      </c>
      <c r="L15" s="28" t="s">
        <v>61</v>
      </c>
      <c r="M15" s="28" t="s">
        <v>61</v>
      </c>
      <c r="N15" s="27" t="s">
        <v>63</v>
      </c>
      <c r="O15" s="27" t="s">
        <v>62</v>
      </c>
      <c r="P15" s="26">
        <v>44655</v>
      </c>
      <c r="Q15" s="25" t="s">
        <v>61</v>
      </c>
    </row>
    <row r="16" spans="1:19" x14ac:dyDescent="0.25">
      <c r="A16" s="29" t="s">
        <v>70</v>
      </c>
      <c r="B16" s="27">
        <v>2022</v>
      </c>
      <c r="C16" s="27">
        <v>27090000</v>
      </c>
      <c r="D16" s="27" t="s">
        <v>69</v>
      </c>
      <c r="E16" s="27" t="s">
        <v>68</v>
      </c>
      <c r="F16" s="27" t="s">
        <v>67</v>
      </c>
      <c r="G16" s="27" t="s">
        <v>66</v>
      </c>
      <c r="H16" s="27" t="s">
        <v>62</v>
      </c>
      <c r="I16" s="27" t="s">
        <v>65</v>
      </c>
      <c r="J16" s="27" t="s">
        <v>64</v>
      </c>
      <c r="K16" s="27" t="s">
        <v>62</v>
      </c>
      <c r="L16" s="28" t="s">
        <v>61</v>
      </c>
      <c r="M16" s="28" t="s">
        <v>61</v>
      </c>
      <c r="N16" s="27" t="s">
        <v>63</v>
      </c>
      <c r="O16" s="27" t="s">
        <v>62</v>
      </c>
      <c r="P16" s="26">
        <v>44655</v>
      </c>
      <c r="Q16" s="25" t="s">
        <v>61</v>
      </c>
    </row>
    <row r="17" spans="1:17" x14ac:dyDescent="0.25">
      <c r="A17" s="29" t="s">
        <v>70</v>
      </c>
      <c r="B17" s="27">
        <v>2022</v>
      </c>
      <c r="C17" s="27">
        <v>27090000</v>
      </c>
      <c r="D17" s="27" t="s">
        <v>69</v>
      </c>
      <c r="E17" s="27" t="s">
        <v>68</v>
      </c>
      <c r="F17" s="27" t="s">
        <v>67</v>
      </c>
      <c r="G17" s="27" t="s">
        <v>66</v>
      </c>
      <c r="H17" s="27" t="s">
        <v>62</v>
      </c>
      <c r="I17" s="27" t="s">
        <v>65</v>
      </c>
      <c r="J17" s="27" t="s">
        <v>64</v>
      </c>
      <c r="K17" s="27" t="s">
        <v>62</v>
      </c>
      <c r="L17" s="28" t="s">
        <v>61</v>
      </c>
      <c r="M17" s="28" t="s">
        <v>61</v>
      </c>
      <c r="N17" s="27" t="s">
        <v>63</v>
      </c>
      <c r="O17" s="27" t="s">
        <v>62</v>
      </c>
      <c r="P17" s="26">
        <v>44655</v>
      </c>
      <c r="Q17" s="25" t="s">
        <v>61</v>
      </c>
    </row>
    <row r="19" spans="1:17" x14ac:dyDescent="0.25">
      <c r="A19" s="23" t="s">
        <v>60</v>
      </c>
      <c r="B19" s="23" t="s">
        <v>59</v>
      </c>
      <c r="C19" s="23" t="s">
        <v>58</v>
      </c>
      <c r="D19" s="23" t="s">
        <v>57</v>
      </c>
      <c r="E19" s="23" t="s">
        <v>56</v>
      </c>
      <c r="F19" s="23" t="s">
        <v>55</v>
      </c>
      <c r="G19" s="23" t="s">
        <v>54</v>
      </c>
      <c r="H19" s="23" t="s">
        <v>53</v>
      </c>
      <c r="I19" s="23" t="s">
        <v>52</v>
      </c>
      <c r="J19" s="24" t="s">
        <v>51</v>
      </c>
      <c r="K19" s="22" t="s">
        <v>50</v>
      </c>
      <c r="L19" s="23" t="s">
        <v>49</v>
      </c>
      <c r="M19" s="22" t="s">
        <v>48</v>
      </c>
      <c r="N19" s="22" t="s">
        <v>47</v>
      </c>
    </row>
    <row r="20" spans="1:17" x14ac:dyDescent="0.25">
      <c r="A20" s="1" t="str" cm="1">
        <f t="array" ref="A20:N21">_xlfn._xlws.FILTER(_xlfn.CHOOSECOLS($A$2:$Q$17,_xlfn.XMATCH($A$19:$N$19,$A$1:$Q$1)),$D$2:$D$17=$S$1,"No Data Found")</f>
        <v>Global</v>
      </c>
      <c r="B20" s="1">
        <v>27090000</v>
      </c>
      <c r="C20" s="1" t="str">
        <v>Bbls Maya Crude Oil Grade 1</v>
      </c>
      <c r="D20" s="1" t="str">
        <v>Pmi Comercio Internacional Sa De Cv</v>
      </c>
      <c r="E20" s="1" t="str">
        <v>Mexico</v>
      </c>
      <c r="F20" s="1" t="str">
        <v>Cayo Arcas Terminal</v>
      </c>
      <c r="G20" s="1" t="str">
        <v>Houston Refining Lp</v>
      </c>
      <c r="H20" s="1" t="str">
        <v>United States</v>
      </c>
      <c r="I20" s="1" t="str">
        <v>By Sea</v>
      </c>
      <c r="J20" s="21">
        <v>45093</v>
      </c>
      <c r="K20" s="1" t="str">
        <v>-</v>
      </c>
      <c r="L20" s="1" t="str">
        <v>Not Available</v>
      </c>
      <c r="M20" s="1" t="str">
        <v>-</v>
      </c>
      <c r="N20" s="1" t="str">
        <v>-</v>
      </c>
    </row>
    <row r="21" spans="1:17" x14ac:dyDescent="0.25">
      <c r="A21" s="1" t="str">
        <v>Global</v>
      </c>
      <c r="B21" s="1">
        <v>27090000</v>
      </c>
      <c r="C21" s="1" t="str">
        <v>Bbls Maya Crude Oil Grade 1</v>
      </c>
      <c r="D21" s="1" t="str">
        <v>Pmi Comercio Internacional Sa De Cv</v>
      </c>
      <c r="E21" s="1" t="str">
        <v>Mexico</v>
      </c>
      <c r="F21" s="1" t="str">
        <v>Cayo Arcas Terminal</v>
      </c>
      <c r="G21" s="1" t="str">
        <v>Houston Refining Lp</v>
      </c>
      <c r="H21" s="1" t="str">
        <v>United States</v>
      </c>
      <c r="I21" s="1" t="str">
        <v>By Sea</v>
      </c>
      <c r="J21" s="21">
        <v>45093</v>
      </c>
      <c r="K21" s="1" t="str">
        <v>-</v>
      </c>
      <c r="L21" s="1" t="str">
        <v>Not Available</v>
      </c>
      <c r="M21" s="1" t="str">
        <v>-</v>
      </c>
      <c r="N21" s="1" t="str">
        <v>-</v>
      </c>
    </row>
    <row r="22" spans="1:17" x14ac:dyDescent="0.25">
      <c r="A22" s="1"/>
      <c r="B22" s="1"/>
      <c r="C22" s="1"/>
      <c r="D22" s="1"/>
      <c r="E22" s="1"/>
      <c r="F22" s="1"/>
      <c r="G22" s="1"/>
      <c r="H22" s="1"/>
      <c r="I22" s="1"/>
      <c r="J22" s="21"/>
      <c r="K22" s="1"/>
      <c r="L22" s="1"/>
      <c r="M22" s="1"/>
      <c r="N22" s="1"/>
    </row>
    <row r="23" spans="1:17" x14ac:dyDescent="0.25">
      <c r="A23" s="1"/>
      <c r="B23" s="1"/>
      <c r="C23" s="1"/>
      <c r="D23" s="1"/>
      <c r="E23" s="1"/>
      <c r="F23" s="1"/>
      <c r="G23" s="1"/>
      <c r="H23" s="1"/>
      <c r="I23" s="1"/>
      <c r="J23" s="21"/>
      <c r="K23" s="1"/>
      <c r="L23" s="1"/>
      <c r="M23" s="1"/>
      <c r="N23" s="1"/>
    </row>
    <row r="24" spans="1:17" x14ac:dyDescent="0.25">
      <c r="A24" s="1"/>
      <c r="B24" s="1"/>
      <c r="C24" s="1"/>
      <c r="D24" s="1"/>
      <c r="E24" s="1"/>
      <c r="F24" s="1"/>
      <c r="G24" s="1"/>
      <c r="H24" s="1"/>
      <c r="I24" s="1"/>
      <c r="J24" s="21"/>
      <c r="K24" s="1"/>
      <c r="L24" s="1"/>
      <c r="M24" s="1"/>
      <c r="N24" s="1"/>
    </row>
    <row r="25" spans="1:17" x14ac:dyDescent="0.25">
      <c r="A25" s="1"/>
      <c r="B25" s="1"/>
      <c r="C25" s="1"/>
      <c r="D25" s="1"/>
      <c r="E25" s="1"/>
      <c r="F25" s="1"/>
      <c r="G25" s="1"/>
      <c r="H25" s="1"/>
      <c r="I25" s="1"/>
      <c r="J25" s="21"/>
      <c r="K25" s="1"/>
      <c r="L25" s="1"/>
      <c r="M25" s="1"/>
      <c r="N25" s="1"/>
    </row>
    <row r="26" spans="1:17" x14ac:dyDescent="0.25">
      <c r="A26" s="1"/>
      <c r="B26" s="1"/>
      <c r="C26" s="1"/>
      <c r="D26" s="1"/>
      <c r="E26" s="1"/>
      <c r="F26" s="1"/>
      <c r="G26" s="1"/>
      <c r="H26" s="1"/>
      <c r="I26" s="1"/>
      <c r="J26" s="21"/>
      <c r="K26" s="1"/>
      <c r="L26" s="1"/>
      <c r="M26" s="1"/>
      <c r="N26" s="1"/>
    </row>
  </sheetData>
  <dataValidations count="1">
    <dataValidation type="list" allowBlank="1" showInputMessage="1" showErrorMessage="1" sqref="S1" xr:uid="{BF9F95AC-5AC5-47A4-8D01-6805077C331A}">
      <formula1>$D$2:$D$12</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32EB-52CF-4A2F-8F5E-FB971224016F}">
  <dimension ref="C2:T22"/>
  <sheetViews>
    <sheetView workbookViewId="0">
      <selection activeCell="M4" sqref="M4"/>
    </sheetView>
  </sheetViews>
  <sheetFormatPr defaultRowHeight="15" x14ac:dyDescent="0.25"/>
  <cols>
    <col min="5" max="5" width="12.140625" bestFit="1" customWidth="1"/>
    <col min="10" max="10" width="8.140625" bestFit="1" customWidth="1"/>
    <col min="11" max="11" width="10.140625" bestFit="1" customWidth="1"/>
    <col min="12" max="12" width="13.42578125" bestFit="1" customWidth="1"/>
    <col min="13" max="14" width="17.28515625" bestFit="1" customWidth="1"/>
    <col min="16" max="16" width="10.42578125" bestFit="1" customWidth="1"/>
    <col min="18" max="18" width="12.7109375" bestFit="1" customWidth="1"/>
    <col min="19" max="19" width="12.140625" bestFit="1" customWidth="1"/>
    <col min="20" max="20" width="14.85546875" bestFit="1" customWidth="1"/>
  </cols>
  <sheetData>
    <row r="2" spans="3:20" x14ac:dyDescent="0.25">
      <c r="I2" s="1" t="s">
        <v>0</v>
      </c>
      <c r="J2" s="1" t="s">
        <v>1</v>
      </c>
      <c r="K2" s="1" t="s">
        <v>2</v>
      </c>
      <c r="L2" s="6" t="s">
        <v>3</v>
      </c>
      <c r="M2" t="s">
        <v>4</v>
      </c>
    </row>
    <row r="3" spans="3:20" x14ac:dyDescent="0.25">
      <c r="C3" s="1" t="s">
        <v>0</v>
      </c>
      <c r="D3" s="1" t="s">
        <v>1</v>
      </c>
      <c r="E3" s="1" t="s">
        <v>2</v>
      </c>
      <c r="I3" s="2" t="s">
        <v>5</v>
      </c>
      <c r="J3">
        <f>IFERROR(VLOOKUP($I3,$C$4:$E$8,2,0),VLOOKUP($I3,$C$13:$E$15,2,0))</f>
        <v>890</v>
      </c>
      <c r="K3">
        <v>890000</v>
      </c>
      <c r="L3" s="3" t="s">
        <v>5</v>
      </c>
      <c r="M3">
        <v>890000</v>
      </c>
    </row>
    <row r="4" spans="3:20" x14ac:dyDescent="0.25">
      <c r="C4" s="2" t="s">
        <v>5</v>
      </c>
      <c r="D4" s="4">
        <v>890</v>
      </c>
      <c r="E4" s="4">
        <v>890000</v>
      </c>
      <c r="I4" s="2" t="s">
        <v>5</v>
      </c>
      <c r="J4">
        <f t="shared" ref="J4:J10" si="0">IFERROR(VLOOKUP($I4,$C$4:$E$8,2,0),VLOOKUP($I4,$C$13:$E$15,2,0))</f>
        <v>890</v>
      </c>
      <c r="K4">
        <v>56000</v>
      </c>
      <c r="L4" s="3" t="s">
        <v>7</v>
      </c>
      <c r="M4">
        <v>56000</v>
      </c>
    </row>
    <row r="5" spans="3:20" x14ac:dyDescent="0.25">
      <c r="C5" s="2" t="s">
        <v>7</v>
      </c>
      <c r="D5" s="4">
        <v>280</v>
      </c>
      <c r="E5" s="4">
        <v>56000</v>
      </c>
      <c r="I5" s="2" t="s">
        <v>7</v>
      </c>
      <c r="J5">
        <f t="shared" si="0"/>
        <v>280</v>
      </c>
      <c r="K5">
        <v>56000</v>
      </c>
      <c r="L5" s="3" t="s">
        <v>6</v>
      </c>
      <c r="M5">
        <v>280000</v>
      </c>
      <c r="R5" s="1" t="s">
        <v>0</v>
      </c>
      <c r="S5" s="1" t="s">
        <v>1</v>
      </c>
      <c r="T5" s="1" t="s">
        <v>2</v>
      </c>
    </row>
    <row r="6" spans="3:20" x14ac:dyDescent="0.25">
      <c r="C6" s="2" t="s">
        <v>6</v>
      </c>
      <c r="D6" s="4">
        <v>560</v>
      </c>
      <c r="E6" s="4">
        <v>280000</v>
      </c>
      <c r="I6" s="2" t="s">
        <v>8</v>
      </c>
      <c r="J6">
        <f t="shared" si="0"/>
        <v>600</v>
      </c>
      <c r="K6">
        <v>12000</v>
      </c>
      <c r="L6" s="3" t="s">
        <v>8</v>
      </c>
      <c r="M6">
        <v>12000</v>
      </c>
      <c r="R6" s="2">
        <v>1000</v>
      </c>
      <c r="S6" s="4">
        <v>890</v>
      </c>
      <c r="T6" s="4">
        <f>S6*R6</f>
        <v>890000</v>
      </c>
    </row>
    <row r="7" spans="3:20" x14ac:dyDescent="0.25">
      <c r="C7" s="2" t="s">
        <v>8</v>
      </c>
      <c r="D7" s="4">
        <v>600</v>
      </c>
      <c r="E7" s="4">
        <v>12000</v>
      </c>
      <c r="I7" s="2" t="s">
        <v>11</v>
      </c>
      <c r="J7">
        <f t="shared" si="0"/>
        <v>898</v>
      </c>
      <c r="K7">
        <v>4534.8999999999996</v>
      </c>
      <c r="L7" s="3" t="s">
        <v>11</v>
      </c>
      <c r="M7">
        <v>4534.8999999999996</v>
      </c>
      <c r="R7" s="2">
        <v>200</v>
      </c>
      <c r="S7" s="4">
        <v>280</v>
      </c>
      <c r="T7" s="4">
        <f t="shared" ref="T7:T10" si="1">S7*R7</f>
        <v>56000</v>
      </c>
    </row>
    <row r="8" spans="3:20" x14ac:dyDescent="0.25">
      <c r="C8" s="2" t="s">
        <v>11</v>
      </c>
      <c r="D8" s="4">
        <v>898</v>
      </c>
      <c r="E8" s="4">
        <v>4534.8999999999996</v>
      </c>
      <c r="I8" s="2" t="s">
        <v>11</v>
      </c>
      <c r="J8">
        <f t="shared" si="0"/>
        <v>898</v>
      </c>
      <c r="K8">
        <v>4534.8999999999996</v>
      </c>
      <c r="L8" s="3" t="s">
        <v>9</v>
      </c>
      <c r="M8">
        <v>56000</v>
      </c>
      <c r="R8" s="2">
        <v>500</v>
      </c>
      <c r="S8" s="4">
        <v>560</v>
      </c>
      <c r="T8" s="4">
        <f t="shared" si="1"/>
        <v>280000</v>
      </c>
    </row>
    <row r="9" spans="3:20" x14ac:dyDescent="0.25">
      <c r="I9" s="2" t="s">
        <v>13</v>
      </c>
      <c r="J9">
        <f t="shared" si="0"/>
        <v>560</v>
      </c>
      <c r="K9">
        <v>280000</v>
      </c>
      <c r="L9" s="3" t="s">
        <v>13</v>
      </c>
      <c r="M9">
        <v>280000</v>
      </c>
      <c r="R9" s="2">
        <v>20</v>
      </c>
      <c r="S9" s="4">
        <v>600</v>
      </c>
      <c r="T9" s="4">
        <f t="shared" si="1"/>
        <v>12000</v>
      </c>
    </row>
    <row r="10" spans="3:20" x14ac:dyDescent="0.25">
      <c r="I10" s="2" t="s">
        <v>10</v>
      </c>
      <c r="J10">
        <f t="shared" si="0"/>
        <v>600</v>
      </c>
      <c r="K10">
        <v>12000</v>
      </c>
      <c r="L10" s="3" t="s">
        <v>10</v>
      </c>
      <c r="M10">
        <v>12000</v>
      </c>
      <c r="O10">
        <f ca="1">DAY(P10)</f>
        <v>27</v>
      </c>
      <c r="P10" s="5">
        <f ca="1">EOMONTH(P12,-12)-4</f>
        <v>45957</v>
      </c>
      <c r="R10" s="2">
        <v>5.05</v>
      </c>
      <c r="S10" s="4">
        <v>898</v>
      </c>
      <c r="T10" s="4">
        <f t="shared" si="1"/>
        <v>4534.8999999999996</v>
      </c>
    </row>
    <row r="11" spans="3:20" x14ac:dyDescent="0.25">
      <c r="L11" s="3" t="s">
        <v>12</v>
      </c>
      <c r="M11">
        <v>1590534.9</v>
      </c>
    </row>
    <row r="12" spans="3:20" x14ac:dyDescent="0.25">
      <c r="O12">
        <f ca="1">DAY(P12)</f>
        <v>9</v>
      </c>
      <c r="P12" s="5">
        <f ca="1">TODAY()</f>
        <v>46304</v>
      </c>
      <c r="Q12">
        <f ca="1">DATEDIF($N$12,$P$12,"y")</f>
        <v>126</v>
      </c>
      <c r="R12" t="str">
        <f ca="1">Q12&amp;" year "&amp;Q15&amp;" months "&amp;Q16&amp;"days"</f>
        <v>126 year 9 months 9days</v>
      </c>
    </row>
    <row r="13" spans="3:20" x14ac:dyDescent="0.25">
      <c r="C13" s="2" t="s">
        <v>9</v>
      </c>
      <c r="D13" s="4">
        <v>280</v>
      </c>
      <c r="E13" s="4">
        <v>56000</v>
      </c>
      <c r="Q13">
        <f ca="1">DATEDIF($N$12,$P$12,"m")</f>
        <v>1521</v>
      </c>
    </row>
    <row r="14" spans="3:20" x14ac:dyDescent="0.25">
      <c r="C14" s="2" t="s">
        <v>13</v>
      </c>
      <c r="D14" s="4">
        <v>560</v>
      </c>
      <c r="E14" s="4">
        <v>280000</v>
      </c>
      <c r="K14" t="s">
        <v>5</v>
      </c>
      <c r="L14">
        <f>AVERAGEIF($C$4:$C$8,K14,$E$4:$E$8)</f>
        <v>890000</v>
      </c>
      <c r="O14">
        <f ca="1">WEEKDAY(P10,2)</f>
        <v>1</v>
      </c>
      <c r="P14">
        <f ca="1">WEEKDAY(P12,2)</f>
        <v>5</v>
      </c>
      <c r="Q14">
        <f ca="1">DATEDIF($N$12,$P$12,"d")</f>
        <v>46304</v>
      </c>
    </row>
    <row r="15" spans="3:20" x14ac:dyDescent="0.25">
      <c r="C15" s="2" t="s">
        <v>10</v>
      </c>
      <c r="D15" s="4">
        <v>600</v>
      </c>
      <c r="E15" s="4">
        <v>12000</v>
      </c>
      <c r="Q15">
        <f ca="1">DATEDIF($N$12,$P$12,"ym")</f>
        <v>9</v>
      </c>
    </row>
    <row r="16" spans="3:20" x14ac:dyDescent="0.25">
      <c r="Q16">
        <f ca="1">DATEDIF($N$12,$P$12,"md")</f>
        <v>9</v>
      </c>
    </row>
    <row r="22" spans="14:17" x14ac:dyDescent="0.25">
      <c r="N22" t="s">
        <v>14</v>
      </c>
      <c r="O22" t="s">
        <v>15</v>
      </c>
      <c r="P22">
        <f>LEN(N22)</f>
        <v>10</v>
      </c>
      <c r="Q22">
        <f>LEN(N22)-LEN(SUBSTITUTE(N22,O22,""))</f>
        <v>4</v>
      </c>
    </row>
  </sheetData>
  <dataValidations disablePrompts="1" count="1">
    <dataValidation type="list" allowBlank="1" showInputMessage="1" showErrorMessage="1" sqref="K14" xr:uid="{8E5C5792-BAEF-4C39-ACC0-94065E267E86}">
      <formula1>$I$3:$I$10</formula1>
    </dataValidation>
  </dataValidation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Sheet1 (5)</vt:lpstr>
      <vt:lpstr>Sheet1 (4)</vt:lpstr>
      <vt:lpstr>Sheet2 (2)</vt:lpstr>
      <vt:lpstr>Practice Work</vt:lpstr>
      <vt:lpstr>Sheet2</vt:lpstr>
      <vt:lpstr>Sheet1 (2)</vt:lpstr>
      <vt:lpstr>Sheet1 (3)</vt:lpstr>
      <vt:lpstr>Sheet1</vt:lpstr>
      <vt:lpstr>Tarun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Sharma</dc:creator>
  <cp:lastModifiedBy>Tarun Sharma</cp:lastModifiedBy>
  <dcterms:created xsi:type="dcterms:W3CDTF">2026-03-27T04:16:38Z</dcterms:created>
  <dcterms:modified xsi:type="dcterms:W3CDTF">2026-10-09T06:36:33Z</dcterms:modified>
</cp:coreProperties>
</file>