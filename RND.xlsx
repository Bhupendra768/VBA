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pendra.kumar\Desktop\"/>
    </mc:Choice>
  </mc:AlternateContent>
  <xr:revisionPtr revIDLastSave="0" documentId="8_{AF62FEE9-1611-4C06-9269-2CC8A71031A2}" xr6:coauthVersionLast="47" xr6:coauthVersionMax="47" xr10:uidLastSave="{00000000-0000-0000-0000-000000000000}"/>
  <bookViews>
    <workbookView xWindow="-120" yWindow="-120" windowWidth="29040" windowHeight="15720" xr2:uid="{56DF5FF9-82C1-4305-9ABF-845783E91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<sst xmlns="http://schemas.openxmlformats.org/spreadsheetml/2006/main" count="27" uniqueCount="25">
  <si>
    <t>No.</t>
  </si>
  <si>
    <t>IPO</t>
  </si>
  <si>
    <t>GMP</t>
  </si>
  <si>
    <t>subs</t>
  </si>
  <si>
    <t>BUDG</t>
  </si>
  <si>
    <t>Retail%</t>
  </si>
  <si>
    <t>start</t>
  </si>
  <si>
    <t>end</t>
  </si>
  <si>
    <t>A D</t>
  </si>
  <si>
    <t>R D</t>
  </si>
  <si>
    <t>L D</t>
  </si>
  <si>
    <t>sb</t>
  </si>
  <si>
    <t>pranav</t>
  </si>
  <si>
    <t>GALSSWALL</t>
  </si>
  <si>
    <t>ab</t>
  </si>
  <si>
    <t>KANOHAR</t>
  </si>
  <si>
    <t>ARCIL</t>
  </si>
  <si>
    <t>a</t>
  </si>
  <si>
    <t>RENTOMOJO</t>
  </si>
  <si>
    <t>LCC PROJECT</t>
  </si>
  <si>
    <t>KARAMTARA</t>
  </si>
  <si>
    <t>Steamhouse</t>
  </si>
  <si>
    <t>Veegaland</t>
  </si>
  <si>
    <t>abs</t>
  </si>
  <si>
    <t>Manika plastech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</si>
</sst>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0" fontId="1" fillId="2" borderId="1" xfId="0" applyNumberFormat="1" applyFont="1" applyFill="1" applyBorder="1"/>
    <xf numFmtId="0" fontId="1" fillId="2" borderId="1" xfId="0" applyFont="1" applyFill="1" applyBorder="1"/>
    <xf numFmtId="2" fontId="1" fillId="2" borderId="1" xfId="0" applyNumberFormat="1" applyFont="1" applyFill="1" applyBorder="1"/>
    <xf numFmtId="9" fontId="1" fillId="2" borderId="1" xfId="0" applyNumberFormat="1" applyFont="1" applyFill="1" applyBorder="1"/>
    <xf numFmtId="0" fontId="0" fillId="0" borderId="1" xfId="0" applyBorder="1"/>
    <xf numFmtId="0" fontId="2" fillId="0" borderId="1" xfId="0" applyFont="1" applyBorder="1"/>
    <xf numFmtId="10" fontId="0" fillId="3" borderId="1" xfId="0" applyNumberFormat="1" applyFill="1" applyBorder="1"/>
    <xf numFmtId="0" fontId="0" fillId="3" borderId="1" xfId="0" applyFill="1" applyBorder="1"/>
    <xf numFmtId="2" fontId="0" fillId="0" borderId="1" xfId="0" applyNumberFormat="1" applyBorder="1"/>
    <xf numFmtId="9" fontId="0" fillId="0" borderId="1" xfId="0" applyNumberFormat="1" applyBorder="1"/>
    <xf numFmtId="16" fontId="0" fillId="0" borderId="1" xfId="0" applyNumberFormat="1" applyBorder="1"/>
    <xf numFmtId="16" fontId="3" fillId="0" borderId="1" xfId="0" applyNumberFormat="1" applyFont="1" applyBorder="1"/>
    <xf numFmtId="16" fontId="4" fillId="0" borderId="1" xfId="0" applyNumberFormat="1" applyFont="1" applyBorder="1"/>
    <xf numFmtId="16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6351-413A-48ED-926B-5A41A91A1057}">
  <dimension ref="A1:L16"/>
  <sheetViews>
    <sheetView tabSelected="1" workbookViewId="0">
      <selection activeCell="C20" sqref="C20"/>
    </sheetView>
  </sheetViews>
  <sheetFormatPr defaultRowHeight="15" x14ac:dyDescent="0.25"/>
  <cols>
    <col min="3" max="3" width="15.7109375" bestFit="1" customWidth="1"/>
  </cols>
  <sheetData>
    <row r="1" spans="1:12" x14ac:dyDescent="0.25">
      <c r="B1" s="1" t="s">
        <v>0</v>
      </c>
      <c r="C1" s="1" t="s">
        <v>1</v>
      </c>
      <c r="D1" s="1" t="s">
        <v>2</v>
      </c>
      <c r="E1" s="2" t="s">
        <v>3</v>
      </c>
      <c r="F1" s="3" t="s">
        <v>4</v>
      </c>
      <c r="G1" s="4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t="s">
        <v>11</v>
      </c>
      <c r="B2" s="5">
        <v>1</v>
      </c>
      <c r="C2" s="6" t="s">
        <v>12</v>
      </c>
      <c r="D2" s="7">
        <v>0.3226</v>
      </c>
      <c r="E2" s="8">
        <v>25</v>
      </c>
      <c r="F2" s="9">
        <v>35.43</v>
      </c>
      <c r="G2" s="10">
        <v>0.45</v>
      </c>
      <c r="H2" s="11">
        <v>46272</v>
      </c>
      <c r="I2" s="11">
        <f>H2+2</f>
        <v>46274</v>
      </c>
      <c r="J2" s="11">
        <v>46275</v>
      </c>
      <c r="K2" s="12">
        <v>46276</v>
      </c>
      <c r="L2" s="11">
        <v>46280</v>
      </c>
    </row>
    <row r="3" spans="1:12" x14ac:dyDescent="0.25">
      <c r="B3" s="5">
        <v>2</v>
      </c>
      <c r="C3" s="5" t="s">
        <v>13</v>
      </c>
      <c r="D3" s="7">
        <v>0.31869999999999998</v>
      </c>
      <c r="E3" s="8">
        <v>6</v>
      </c>
      <c r="F3" s="9">
        <v>367.89</v>
      </c>
      <c r="G3" s="10">
        <v>0.35</v>
      </c>
      <c r="H3" s="11">
        <v>46273</v>
      </c>
      <c r="I3" s="11">
        <f t="shared" ref="I3:I9" si="0">H3+2</f>
        <v>46275</v>
      </c>
      <c r="J3" s="11">
        <v>46276</v>
      </c>
      <c r="K3" s="11">
        <v>46280</v>
      </c>
      <c r="L3" s="11">
        <v>46281</v>
      </c>
    </row>
    <row r="4" spans="1:12" x14ac:dyDescent="0.25">
      <c r="A4" t="s">
        <v>14</v>
      </c>
      <c r="B4" s="5">
        <v>3</v>
      </c>
      <c r="C4" s="6" t="s">
        <v>15</v>
      </c>
      <c r="D4" s="7">
        <v>0.34810000000000002</v>
      </c>
      <c r="E4" s="8">
        <v>5</v>
      </c>
      <c r="F4" s="9">
        <v>755.74</v>
      </c>
      <c r="G4" s="10">
        <v>0.35</v>
      </c>
      <c r="H4" s="11">
        <v>46273</v>
      </c>
      <c r="I4" s="11">
        <f t="shared" si="0"/>
        <v>46275</v>
      </c>
      <c r="J4" s="11">
        <v>46276</v>
      </c>
      <c r="K4" s="13">
        <v>46280</v>
      </c>
      <c r="L4" s="11">
        <v>46281</v>
      </c>
    </row>
    <row r="5" spans="1:12" x14ac:dyDescent="0.25">
      <c r="B5" s="5">
        <v>4</v>
      </c>
      <c r="C5" s="5" t="s">
        <v>16</v>
      </c>
      <c r="D5" s="7">
        <v>0.21579999999999999</v>
      </c>
      <c r="E5" s="8">
        <v>1</v>
      </c>
      <c r="F5" s="9">
        <v>732.97</v>
      </c>
      <c r="G5" s="10">
        <v>0.35</v>
      </c>
      <c r="H5" s="11">
        <v>46274</v>
      </c>
      <c r="I5" s="11">
        <f t="shared" si="0"/>
        <v>46276</v>
      </c>
      <c r="J5" s="11">
        <v>46280</v>
      </c>
      <c r="K5" s="11">
        <v>46281</v>
      </c>
      <c r="L5" s="11">
        <v>46282</v>
      </c>
    </row>
    <row r="6" spans="1:12" x14ac:dyDescent="0.25">
      <c r="A6" t="s">
        <v>17</v>
      </c>
      <c r="B6" s="5">
        <v>5</v>
      </c>
      <c r="C6" s="6" t="s">
        <v>18</v>
      </c>
      <c r="D6" s="7">
        <v>0.34160000000000001</v>
      </c>
      <c r="E6" s="8">
        <v>1</v>
      </c>
      <c r="F6" s="9">
        <v>1105.57</v>
      </c>
      <c r="G6" s="10">
        <v>0.35</v>
      </c>
      <c r="H6" s="11">
        <v>46274</v>
      </c>
      <c r="I6" s="12">
        <f t="shared" si="0"/>
        <v>46276</v>
      </c>
      <c r="J6" s="11">
        <v>46280</v>
      </c>
      <c r="K6" s="14">
        <v>46281</v>
      </c>
      <c r="L6" s="11">
        <v>46282</v>
      </c>
    </row>
    <row r="7" spans="1:12" x14ac:dyDescent="0.25">
      <c r="A7" t="s">
        <v>11</v>
      </c>
      <c r="B7" s="5">
        <v>6</v>
      </c>
      <c r="C7" s="6" t="s">
        <v>19</v>
      </c>
      <c r="D7" s="7">
        <v>0.27400000000000002</v>
      </c>
      <c r="E7" s="8">
        <v>1</v>
      </c>
      <c r="F7" s="9">
        <v>169.14</v>
      </c>
      <c r="G7" s="10">
        <v>0.35</v>
      </c>
      <c r="H7" s="11">
        <v>46274</v>
      </c>
      <c r="I7" s="12">
        <f t="shared" si="0"/>
        <v>46276</v>
      </c>
      <c r="J7" s="11">
        <v>46280</v>
      </c>
      <c r="K7" s="14">
        <v>46281</v>
      </c>
      <c r="L7" s="11">
        <v>46282</v>
      </c>
    </row>
    <row r="8" spans="1:12" x14ac:dyDescent="0.25">
      <c r="B8" s="5">
        <v>7</v>
      </c>
      <c r="C8" s="5" t="s">
        <v>20</v>
      </c>
      <c r="D8" s="7">
        <v>0.25590000000000002</v>
      </c>
      <c r="E8" s="8">
        <v>1</v>
      </c>
      <c r="F8" s="9">
        <v>200</v>
      </c>
      <c r="G8" s="10">
        <v>0.35</v>
      </c>
      <c r="H8" s="11">
        <v>46274</v>
      </c>
      <c r="I8" s="11">
        <f t="shared" si="0"/>
        <v>46276</v>
      </c>
      <c r="J8" s="11">
        <v>46280</v>
      </c>
      <c r="K8" s="11">
        <v>46281</v>
      </c>
      <c r="L8" s="11">
        <v>46282</v>
      </c>
    </row>
    <row r="9" spans="1:12" x14ac:dyDescent="0.25">
      <c r="B9" s="5">
        <v>8</v>
      </c>
      <c r="C9" s="5" t="s">
        <v>21</v>
      </c>
      <c r="D9" s="7">
        <v>0.22220000000000001</v>
      </c>
      <c r="E9" s="8">
        <v>1</v>
      </c>
      <c r="F9" s="9">
        <v>61</v>
      </c>
      <c r="G9" s="10">
        <v>0.35</v>
      </c>
      <c r="H9" s="11">
        <v>46274</v>
      </c>
      <c r="I9" s="11">
        <f t="shared" si="0"/>
        <v>46276</v>
      </c>
      <c r="J9" s="11">
        <v>46280</v>
      </c>
      <c r="K9" s="11">
        <v>46281</v>
      </c>
      <c r="L9" s="11">
        <v>46282</v>
      </c>
    </row>
    <row r="10" spans="1:12" x14ac:dyDescent="0.25">
      <c r="A10" t="s">
        <v>14</v>
      </c>
      <c r="B10" s="5">
        <v>9</v>
      </c>
      <c r="C10" s="6" t="s">
        <v>22</v>
      </c>
      <c r="D10" s="7">
        <v>0.23569999999999999</v>
      </c>
      <c r="E10" s="8"/>
      <c r="F10" s="9">
        <v>210</v>
      </c>
      <c r="G10" s="10">
        <v>0.35</v>
      </c>
      <c r="H10" s="11">
        <v>46275</v>
      </c>
      <c r="I10" s="13">
        <f>H10+2+3</f>
        <v>46280</v>
      </c>
      <c r="J10" s="11">
        <v>46281</v>
      </c>
      <c r="K10" s="11">
        <v>46282</v>
      </c>
      <c r="L10" s="11">
        <v>46283</v>
      </c>
    </row>
    <row r="11" spans="1:12" x14ac:dyDescent="0.25">
      <c r="A11" t="s">
        <v>23</v>
      </c>
      <c r="B11" s="5">
        <v>10</v>
      </c>
      <c r="C11" s="6" t="s">
        <v>24</v>
      </c>
      <c r="D11" s="7">
        <v>0.39529999999999998</v>
      </c>
      <c r="E11" s="8"/>
      <c r="F11" s="9">
        <v>33</v>
      </c>
      <c r="G11" s="10">
        <v>0.35</v>
      </c>
      <c r="H11" s="11">
        <v>46276</v>
      </c>
      <c r="I11" s="14">
        <f>H11+2+3</f>
        <v>46281</v>
      </c>
      <c r="J11" s="11">
        <v>46282</v>
      </c>
      <c r="K11" s="11">
        <v>46283</v>
      </c>
      <c r="L11" s="11">
        <v>46286</v>
      </c>
    </row>
    <row r="12" spans="1:12" x14ac:dyDescent="0.25">
      <c r="B12" s="5">
        <v>11</v>
      </c>
      <c r="C12" s="5"/>
      <c r="D12" s="7"/>
      <c r="E12" s="8"/>
      <c r="F12" s="9"/>
      <c r="G12" s="10"/>
      <c r="H12" s="11"/>
      <c r="I12" s="11"/>
      <c r="J12" s="11"/>
      <c r="K12" s="11"/>
      <c r="L12" s="11"/>
    </row>
    <row r="13" spans="1:12" x14ac:dyDescent="0.25">
      <c r="B13" s="5">
        <v>12</v>
      </c>
      <c r="C13" s="5"/>
      <c r="D13" s="7"/>
      <c r="E13" s="8"/>
      <c r="F13" s="9"/>
      <c r="G13" s="10"/>
      <c r="H13" s="11"/>
      <c r="I13" s="11"/>
      <c r="J13" s="11"/>
      <c r="K13" s="11"/>
      <c r="L13" s="11"/>
    </row>
    <row r="14" spans="1:12" x14ac:dyDescent="0.25">
      <c r="B14" s="5">
        <v>13</v>
      </c>
      <c r="C14" s="5"/>
      <c r="D14" s="7"/>
      <c r="E14" s="8"/>
      <c r="F14" s="9"/>
      <c r="G14" s="10"/>
      <c r="H14" s="11"/>
      <c r="I14" s="11"/>
      <c r="J14" s="11"/>
      <c r="K14" s="11"/>
      <c r="L14" s="11"/>
    </row>
    <row r="15" spans="1:12" x14ac:dyDescent="0.25">
      <c r="B15" s="5">
        <v>14</v>
      </c>
      <c r="C15" s="5"/>
      <c r="D15" s="7"/>
      <c r="E15" s="8"/>
      <c r="F15" s="9"/>
      <c r="G15" s="10"/>
      <c r="H15" s="11"/>
      <c r="I15" s="11"/>
      <c r="J15" s="11"/>
      <c r="K15" s="11"/>
      <c r="L15" s="11"/>
    </row>
    <row r="16" spans="1:12" x14ac:dyDescent="0.25">
      <c r="B16" s="5">
        <v>15</v>
      </c>
      <c r="C16" s="5"/>
      <c r="D16" s="7"/>
      <c r="E16" s="8"/>
      <c r="F16" s="9"/>
      <c r="G16" s="10"/>
      <c r="H16" s="11"/>
      <c r="I16" s="11"/>
      <c r="J16" s="11"/>
      <c r="K16" s="11"/>
      <c r="L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Bhupendra Kumar</dc:creator>
  <cp:lastModifiedBy>Bhupendra Kumar</cp:lastModifiedBy>
  <dcterms:created xsi:type="dcterms:W3CDTF">2026-09-09T08:25:26Z</dcterms:created>
  <dcterms:modified xsi:type="dcterms:W3CDTF">2026-09-09T08:25:54Z</dcterms:modified>
</cp:coreProperties>
</file>