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upendra.kumar\Desktop\ChemAnalyst\ZBk\"/>
    </mc:Choice>
  </mc:AlternateContent>
  <xr:revisionPtr revIDLastSave="0" documentId="13_ncr:1_{9459FF80-0FAD-4D35-817F-C1BE2ACD2916}" xr6:coauthVersionLast="47" xr6:coauthVersionMax="47" xr10:uidLastSave="{00000000-0000-0000-0000-000000000000}"/>
  <bookViews>
    <workbookView xWindow="-120" yWindow="-120" windowWidth="29040" windowHeight="15840" activeTab="2" xr2:uid="{AC038CD9-B3C5-4C50-AF07-D8A490A6EBB9}"/>
  </bookViews>
  <sheets>
    <sheet name="Sheet1" sheetId="1" r:id="rId1"/>
    <sheet name="Mail_Data" sheetId="5" state="hidden" r:id="rId2"/>
    <sheet name="Timesheet" sheetId="6" r:id="rId3"/>
    <sheet name="Mail Lines" sheetId="7" r:id="rId4"/>
    <sheet name="Sheet2" sheetId="9" r:id="rId5"/>
  </sheets>
  <definedNames>
    <definedName name="_xlnm._FilterDatabase" localSheetId="2" hidden="1">Timesheet!$A$1:$K$69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4" i="7" l="1"/>
  <c r="C104" i="7"/>
  <c r="D104" i="7"/>
  <c r="K109" i="6"/>
  <c r="K108" i="6"/>
  <c r="K106" i="6"/>
  <c r="B100" i="7"/>
  <c r="C100" i="7"/>
  <c r="D100" i="7"/>
  <c r="E100" i="7"/>
  <c r="B101" i="7"/>
  <c r="C101" i="7"/>
  <c r="D101" i="7"/>
  <c r="E101" i="7"/>
  <c r="E102" i="7"/>
  <c r="B103" i="7"/>
  <c r="C103" i="7"/>
  <c r="D103" i="7"/>
  <c r="E103" i="7"/>
  <c r="E104" i="7"/>
  <c r="K105" i="6"/>
  <c r="K97" i="6"/>
  <c r="K96" i="6"/>
  <c r="K102" i="6"/>
  <c r="K104" i="6"/>
  <c r="K103" i="6"/>
  <c r="K101" i="6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K100" i="6"/>
  <c r="K99" i="6"/>
  <c r="K98" i="6"/>
  <c r="B91" i="7"/>
  <c r="C91" i="7"/>
  <c r="D91" i="7"/>
  <c r="B92" i="7"/>
  <c r="C92" i="7"/>
  <c r="D92" i="7"/>
  <c r="B90" i="7"/>
  <c r="C89" i="7"/>
  <c r="D89" i="7"/>
  <c r="E89" i="7"/>
  <c r="C90" i="7"/>
  <c r="D90" i="7"/>
  <c r="E90" i="7"/>
  <c r="E91" i="7"/>
  <c r="E92" i="7"/>
  <c r="C93" i="7"/>
  <c r="D93" i="7"/>
  <c r="E93" i="7"/>
  <c r="C94" i="7"/>
  <c r="D94" i="7"/>
  <c r="E94" i="7"/>
  <c r="B93" i="7"/>
  <c r="B94" i="7"/>
  <c r="F89" i="7" l="1"/>
  <c r="G89" i="7"/>
  <c r="H89" i="7"/>
  <c r="I89" i="7"/>
  <c r="J89" i="7"/>
  <c r="K94" i="6"/>
  <c r="G87" i="7" l="1"/>
  <c r="H87" i="7"/>
  <c r="I87" i="7"/>
  <c r="K92" i="6"/>
  <c r="B87" i="7"/>
  <c r="C87" i="7"/>
  <c r="D87" i="7"/>
  <c r="E87" i="7"/>
  <c r="J86" i="7"/>
  <c r="K86" i="7"/>
  <c r="G86" i="7"/>
  <c r="H86" i="7"/>
  <c r="I86" i="7"/>
  <c r="B85" i="7"/>
  <c r="C85" i="7"/>
  <c r="D85" i="7"/>
  <c r="E85" i="7"/>
  <c r="F85" i="7"/>
  <c r="B86" i="7"/>
  <c r="C86" i="7"/>
  <c r="D86" i="7"/>
  <c r="E86" i="7"/>
  <c r="F86" i="7"/>
  <c r="F87" i="7"/>
  <c r="B88" i="7"/>
  <c r="C88" i="7"/>
  <c r="D88" i="7"/>
  <c r="E88" i="7"/>
  <c r="F88" i="7"/>
  <c r="B89" i="7"/>
  <c r="K90" i="6"/>
  <c r="E84" i="7"/>
  <c r="F84" i="7"/>
  <c r="K89" i="6"/>
  <c r="B84" i="7"/>
  <c r="C84" i="7"/>
  <c r="D84" i="7"/>
  <c r="D83" i="7"/>
  <c r="E83" i="7"/>
  <c r="F83" i="7"/>
  <c r="G83" i="7"/>
  <c r="K88" i="6"/>
  <c r="K87" i="6"/>
  <c r="K86" i="6"/>
  <c r="B80" i="7"/>
  <c r="C80" i="7"/>
  <c r="D80" i="7"/>
  <c r="B81" i="7"/>
  <c r="C81" i="7"/>
  <c r="D81" i="7"/>
  <c r="B82" i="7"/>
  <c r="C82" i="7"/>
  <c r="D82" i="7"/>
  <c r="B83" i="7"/>
  <c r="C83" i="7"/>
  <c r="K85" i="6"/>
  <c r="K84" i="6"/>
  <c r="K82" i="6"/>
  <c r="K81" i="6"/>
  <c r="B75" i="7"/>
  <c r="C75" i="7"/>
  <c r="D75" i="7"/>
  <c r="B76" i="7"/>
  <c r="C76" i="7"/>
  <c r="D76" i="7"/>
  <c r="B77" i="7"/>
  <c r="C77" i="7"/>
  <c r="D77" i="7"/>
  <c r="B78" i="7"/>
  <c r="C78" i="7"/>
  <c r="D78" i="7"/>
  <c r="B79" i="7"/>
  <c r="C79" i="7"/>
  <c r="D79" i="7"/>
  <c r="K80" i="6"/>
  <c r="K79" i="6"/>
  <c r="K77" i="6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C69" i="7"/>
  <c r="D69" i="7"/>
  <c r="E69" i="7"/>
  <c r="K76" i="6"/>
  <c r="K74" i="6"/>
  <c r="B67" i="7"/>
  <c r="C67" i="7"/>
  <c r="D67" i="7"/>
  <c r="B69" i="7"/>
  <c r="K72" i="6"/>
  <c r="K71" i="6"/>
  <c r="B65" i="7"/>
  <c r="C65" i="7"/>
  <c r="D65" i="7"/>
  <c r="E65" i="7"/>
  <c r="F65" i="7"/>
  <c r="B66" i="7"/>
  <c r="C66" i="7"/>
  <c r="D66" i="7"/>
  <c r="E66" i="7"/>
  <c r="F66" i="7"/>
  <c r="C64" i="7"/>
  <c r="D64" i="7"/>
  <c r="E64" i="7"/>
  <c r="F64" i="7"/>
  <c r="K70" i="6"/>
  <c r="K69" i="6"/>
  <c r="B61" i="7"/>
  <c r="C61" i="7"/>
  <c r="E61" i="7"/>
  <c r="B62" i="7"/>
  <c r="D62" i="7"/>
  <c r="E62" i="7"/>
  <c r="B63" i="7"/>
  <c r="C63" i="7"/>
  <c r="D63" i="7"/>
  <c r="E63" i="7"/>
  <c r="B64" i="7"/>
  <c r="K68" i="6"/>
  <c r="E60" i="7"/>
  <c r="D60" i="7"/>
  <c r="C60" i="7"/>
  <c r="B60" i="7"/>
  <c r="K65" i="6"/>
  <c r="K63" i="6"/>
  <c r="K62" i="6"/>
  <c r="K61" i="6"/>
  <c r="B55" i="7"/>
  <c r="C55" i="7"/>
  <c r="D55" i="7"/>
  <c r="E55" i="7"/>
  <c r="F55" i="7"/>
  <c r="G55" i="7"/>
  <c r="H55" i="7"/>
  <c r="B56" i="7"/>
  <c r="C56" i="7"/>
  <c r="D56" i="7"/>
  <c r="E56" i="7"/>
  <c r="F56" i="7"/>
  <c r="G56" i="7"/>
  <c r="H56" i="7"/>
  <c r="B57" i="7"/>
  <c r="C57" i="7"/>
  <c r="D57" i="7"/>
  <c r="E57" i="7"/>
  <c r="F57" i="7"/>
  <c r="G57" i="7"/>
  <c r="H57" i="7"/>
  <c r="B58" i="7"/>
  <c r="C58" i="7"/>
  <c r="D58" i="7"/>
  <c r="E58" i="7"/>
  <c r="F58" i="7"/>
  <c r="G58" i="7"/>
  <c r="H58" i="7"/>
  <c r="B59" i="7"/>
  <c r="C59" i="7"/>
  <c r="D59" i="7"/>
  <c r="E59" i="7"/>
  <c r="F59" i="7"/>
  <c r="G59" i="7"/>
  <c r="H59" i="7"/>
  <c r="K60" i="6"/>
  <c r="H54" i="7"/>
  <c r="G54" i="7"/>
  <c r="F54" i="7"/>
  <c r="E54" i="7"/>
  <c r="D54" i="7"/>
  <c r="C54" i="7"/>
  <c r="B54" i="7"/>
  <c r="K59" i="6"/>
  <c r="K58" i="6"/>
  <c r="K56" i="6"/>
  <c r="B48" i="7"/>
  <c r="C48" i="7"/>
  <c r="D48" i="7"/>
  <c r="B49" i="7"/>
  <c r="C49" i="7"/>
  <c r="D49" i="7"/>
  <c r="B50" i="7"/>
  <c r="C50" i="7"/>
  <c r="D50" i="7"/>
  <c r="B51" i="7"/>
  <c r="C51" i="7"/>
  <c r="D51" i="7"/>
  <c r="B52" i="7"/>
  <c r="C52" i="7"/>
  <c r="D52" i="7"/>
  <c r="B53" i="7"/>
  <c r="C53" i="7"/>
  <c r="D53" i="7"/>
  <c r="K54" i="6"/>
  <c r="K53" i="6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K52" i="6"/>
  <c r="K51" i="6"/>
  <c r="B45" i="7"/>
  <c r="C45" i="7"/>
  <c r="B46" i="7"/>
  <c r="C46" i="7"/>
  <c r="B47" i="7"/>
  <c r="C47" i="7"/>
  <c r="K50" i="6"/>
  <c r="K49" i="6"/>
  <c r="K48" i="6"/>
  <c r="K47" i="6"/>
  <c r="K46" i="6"/>
  <c r="K45" i="6"/>
  <c r="K44" i="6"/>
  <c r="K2" i="6"/>
  <c r="K3" i="6"/>
  <c r="K4" i="6"/>
  <c r="K5" i="6"/>
  <c r="K6" i="6"/>
  <c r="K43" i="6"/>
  <c r="K41" i="6"/>
  <c r="K40" i="6"/>
  <c r="B35" i="7"/>
  <c r="K39" i="6"/>
  <c r="B34" i="7"/>
  <c r="B33" i="7"/>
  <c r="C33" i="7"/>
  <c r="C34" i="7"/>
  <c r="C35" i="7"/>
  <c r="B36" i="7"/>
  <c r="C36" i="7"/>
  <c r="B37" i="7"/>
  <c r="C37" i="7"/>
  <c r="B38" i="7"/>
  <c r="C38" i="7"/>
  <c r="B39" i="7"/>
  <c r="C39" i="7"/>
  <c r="B40" i="7"/>
  <c r="C40" i="7"/>
  <c r="B41" i="7"/>
  <c r="C41" i="7"/>
  <c r="B42" i="7"/>
  <c r="C42" i="7"/>
  <c r="B43" i="7"/>
  <c r="C43" i="7"/>
  <c r="B44" i="7"/>
  <c r="C44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23" i="7"/>
  <c r="B32" i="7"/>
  <c r="C32" i="7"/>
  <c r="K37" i="6"/>
  <c r="K36" i="6"/>
  <c r="K35" i="6"/>
  <c r="K34" i="6"/>
  <c r="K33" i="6"/>
  <c r="K32" i="6"/>
  <c r="K30" i="6"/>
  <c r="K29" i="6"/>
  <c r="K28" i="6"/>
  <c r="G12" i="7"/>
  <c r="H12" i="7"/>
  <c r="G13" i="7"/>
  <c r="H13" i="7"/>
  <c r="G14" i="7"/>
  <c r="H14" i="7"/>
  <c r="G15" i="7"/>
  <c r="H15" i="7"/>
  <c r="G16" i="7"/>
  <c r="H16" i="7"/>
  <c r="G17" i="7"/>
  <c r="H17" i="7"/>
  <c r="G18" i="7"/>
  <c r="H18" i="7"/>
  <c r="G19" i="7"/>
  <c r="H19" i="7"/>
  <c r="G20" i="7"/>
  <c r="H20" i="7"/>
  <c r="H11" i="7"/>
  <c r="F17" i="7"/>
  <c r="F18" i="7"/>
  <c r="F19" i="7"/>
  <c r="F20" i="7"/>
  <c r="F21" i="7"/>
  <c r="K24" i="6"/>
  <c r="K25" i="6"/>
  <c r="K26" i="6"/>
  <c r="K27" i="6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B24" i="7"/>
  <c r="C24" i="7"/>
  <c r="B25" i="7"/>
  <c r="C25" i="7"/>
  <c r="B26" i="7"/>
  <c r="C26" i="7"/>
  <c r="B27" i="7"/>
  <c r="C27" i="7"/>
  <c r="B28" i="7"/>
  <c r="C28" i="7"/>
  <c r="B29" i="7"/>
  <c r="C29" i="7"/>
  <c r="B30" i="7"/>
  <c r="C30" i="7"/>
  <c r="B31" i="7"/>
  <c r="C31" i="7"/>
  <c r="K23" i="6"/>
  <c r="K22" i="6"/>
  <c r="F16" i="7"/>
  <c r="K21" i="6"/>
  <c r="K20" i="6"/>
  <c r="K19" i="6"/>
  <c r="K18" i="6"/>
  <c r="K17" i="6"/>
  <c r="G11" i="7"/>
  <c r="F11" i="7"/>
  <c r="K15" i="6"/>
  <c r="K16" i="6"/>
  <c r="K14" i="6"/>
  <c r="B9" i="7"/>
  <c r="C9" i="7"/>
  <c r="D9" i="7"/>
  <c r="E9" i="7"/>
  <c r="B10" i="7"/>
  <c r="C10" i="7"/>
  <c r="D10" i="7"/>
  <c r="E10" i="7"/>
  <c r="B11" i="7"/>
  <c r="C11" i="7"/>
  <c r="D11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8" i="7"/>
  <c r="K13" i="6"/>
  <c r="C6" i="7"/>
  <c r="D6" i="7"/>
  <c r="E6" i="7"/>
  <c r="C7" i="7"/>
  <c r="D7" i="7"/>
  <c r="E7" i="7"/>
  <c r="C8" i="7"/>
  <c r="D8" i="7"/>
  <c r="E8" i="7"/>
  <c r="B7" i="7"/>
  <c r="K12" i="6"/>
  <c r="K11" i="6"/>
  <c r="B3" i="7"/>
  <c r="C3" i="7"/>
  <c r="D3" i="7"/>
  <c r="E3" i="7"/>
  <c r="F3" i="7"/>
  <c r="G3" i="7"/>
  <c r="H3" i="7"/>
  <c r="I3" i="7"/>
  <c r="J3" i="7"/>
  <c r="B4" i="7"/>
  <c r="C4" i="7"/>
  <c r="D4" i="7"/>
  <c r="E4" i="7"/>
  <c r="F4" i="7"/>
  <c r="G4" i="7"/>
  <c r="H4" i="7"/>
  <c r="I4" i="7"/>
  <c r="J4" i="7"/>
  <c r="B5" i="7"/>
  <c r="C5" i="7"/>
  <c r="D5" i="7"/>
  <c r="E5" i="7"/>
  <c r="F5" i="7"/>
  <c r="G5" i="7"/>
  <c r="H5" i="7"/>
  <c r="I5" i="7"/>
  <c r="J5" i="7"/>
  <c r="B6" i="7"/>
  <c r="F6" i="7"/>
  <c r="G6" i="7"/>
  <c r="H6" i="7"/>
  <c r="I6" i="7"/>
  <c r="J6" i="7"/>
  <c r="C2" i="7"/>
  <c r="D2" i="7"/>
  <c r="E2" i="7"/>
  <c r="F2" i="7"/>
  <c r="G2" i="7"/>
  <c r="H2" i="7"/>
  <c r="I2" i="7"/>
  <c r="J2" i="7"/>
  <c r="B2" i="7"/>
  <c r="K10" i="6"/>
  <c r="K8" i="6"/>
  <c r="K9" i="6"/>
  <c r="K7" i="6"/>
</calcChain>
</file>

<file path=xl/sharedStrings.xml><?xml version="1.0" encoding="utf-8"?>
<sst xmlns="http://schemas.openxmlformats.org/spreadsheetml/2006/main" count="482" uniqueCount="263">
  <si>
    <t>Name</t>
  </si>
  <si>
    <t>Department (TechSci/ChemAnalyst)</t>
  </si>
  <si>
    <t>Designation</t>
  </si>
  <si>
    <t>Emp. Code</t>
  </si>
  <si>
    <t>Blood Group</t>
  </si>
  <si>
    <t>Emergency Number</t>
  </si>
  <si>
    <t>Offc. Landline</t>
  </si>
  <si>
    <t>Official Email ID</t>
  </si>
  <si>
    <t>Bhupendra Kumar</t>
  </si>
  <si>
    <t>ChemAnalyst</t>
  </si>
  <si>
    <t>Data Associate</t>
  </si>
  <si>
    <t>CA151</t>
  </si>
  <si>
    <t>bhupendra.kumar@techsciresearch.com</t>
  </si>
  <si>
    <t>Photo</t>
  </si>
  <si>
    <t>Working on Product " Global Fluoroelastomer Port Wise Export Data "</t>
  </si>
  <si>
    <t>Working on Product " Global EPDM_Rubber Port Wise Export Data "</t>
  </si>
  <si>
    <t>Id</t>
  </si>
  <si>
    <t>Mail_Id</t>
  </si>
  <si>
    <t>Content</t>
  </si>
  <si>
    <t>Attachment</t>
  </si>
  <si>
    <t>Chandan</t>
  </si>
  <si>
    <t>Ashish</t>
  </si>
  <si>
    <t>Bhupendra</t>
  </si>
  <si>
    <t>Testing</t>
  </si>
  <si>
    <t>Subject</t>
  </si>
  <si>
    <t>Please Ignore this Email,,,</t>
  </si>
  <si>
    <t>chandan.kumar@techsciresearch.com</t>
  </si>
  <si>
    <t>ashish.kumar@techsciresearch.com</t>
  </si>
  <si>
    <t>C:\Users\bhupendra.kumar\Pictures\Screenshots\Screenshot (1).png</t>
  </si>
  <si>
    <t>C:\Users\bhupendra.kumar\Pictures\Screenshots\Screenshot (2).png</t>
  </si>
  <si>
    <t>C:\Users\bhupendra.kumar\Pictures\Screenshots\Screenshot (6).png</t>
  </si>
  <si>
    <t>Please complete your ongoing task,,,</t>
  </si>
  <si>
    <t>right guesture,,,</t>
  </si>
  <si>
    <t>Working on Product " Global_Ethylene Vinyl Acetate_Port Wise Export Data "</t>
  </si>
  <si>
    <t>Completed Product " Global Sample Data of (HDPE, R-PET &amp; LLDPE)"</t>
  </si>
  <si>
    <t>Completed Product " Global_Ethylene Vinyl Acetate_Port Wise Export Data "</t>
  </si>
  <si>
    <t>Updated Product " Global_Dimethyl Carbonate_Port Wise Export Data till Mar-24 "</t>
  </si>
  <si>
    <t>Working on Product " Global_Titanium Dioxide_Port Wise Export Data "</t>
  </si>
  <si>
    <t>Updated Product " Global_Titanium Dioxide_Port Wise Export Data till Mar-24 "</t>
  </si>
  <si>
    <t>Working on Product " Global_Soda Ash_Port Wise Export Data "</t>
  </si>
  <si>
    <t>Updated Product " Global_Soda Ash_Port Wise Export Data till Mar-24 "</t>
  </si>
  <si>
    <t>Updated Product " Global_Phenol_Port Wise Export Data till Mar-24 "</t>
  </si>
  <si>
    <t>Updated Product " Global_Caustic Potash_Port Wise Export Data till Mar-24 "</t>
  </si>
  <si>
    <t>Product " Global Vinyl Acetate Monomer Port Wise Export Data" is Updated till Mar-24, And Product " Global Acrylic Acid Port Wise Export Data" is Updated till Mar-24.</t>
  </si>
  <si>
    <t>Product " Global Fluoroelastomer Port Wise Export Data" is Updated till Mar-24.</t>
  </si>
  <si>
    <t>Product " Global Mono Ethylene Glycol Port Wise Export Data" is Updated till Mar-24.</t>
  </si>
  <si>
    <t>Product " Global Ethylene Vinyl Acetate Port Wise Export Data" is Updated till Mar-24.</t>
  </si>
  <si>
    <t>Product " Global EPDM Rubber Port Wise Export Data" is Updated till Mar-24.</t>
  </si>
  <si>
    <t>c</t>
  </si>
  <si>
    <t>Product " Global Bisphenol A Port Wise Export Data" is Updated till Mar-24.</t>
  </si>
  <si>
    <t>Product " Global Acetone Port Wise Export Data" is Updated till Mar-24.</t>
  </si>
  <si>
    <t>Product " Global Styrene Block Copolymer Port Wise Export Data" is Updated till Mar-24.</t>
  </si>
  <si>
    <t>Product " Global Mix Xylene Port Wise Export Data" is Updated till Mar-24.</t>
  </si>
  <si>
    <t>Product " Global Liquid Chlorine Port Wise Export Data" is Updated till Mar-24.</t>
  </si>
  <si>
    <t>Product " Global Toluene Diisocyanate Port Wise Export Data" is being Updated till Mar-24.</t>
  </si>
  <si>
    <t>Product " Global Toluene Diisocyanate Port Wise Export Data" is Updated till Mar-24.</t>
  </si>
  <si>
    <t>techsci1</t>
  </si>
  <si>
    <t>Sodium Sulphate</t>
  </si>
  <si>
    <t>Product " Global Sodium Sulphate Port Wise Export Data" is Updated till Mar-24.</t>
  </si>
  <si>
    <t>Working on Product " Global Nitric Acid Port Wise Export Data " for Updating till Mar-24</t>
  </si>
  <si>
    <t>Product " Global Nitric Acid Port Wise Export Data" is Updated till Mar-24.</t>
  </si>
  <si>
    <t>Product " Global Sulphur Port Wise Export Data" is Updated till Mar-24.</t>
  </si>
  <si>
    <t>Working on Product " Global Epoxy Resin Port Wise Export Data " for Updating till Mar-24</t>
  </si>
  <si>
    <r>
      <t xml:space="preserve">Product " Global Epoxy Resin Port Wise Export Data" is Updated till </t>
    </r>
    <r>
      <rPr>
        <sz val="11"/>
        <color rgb="FFFF0000"/>
        <rFont val="Arial"/>
        <family val="2"/>
      </rPr>
      <t>Apr-24.</t>
    </r>
  </si>
  <si>
    <r>
      <t xml:space="preserve">Product " Global EPDM Rubber Port Wise Export Data" is Updated till </t>
    </r>
    <r>
      <rPr>
        <sz val="11"/>
        <color rgb="FFFF0000"/>
        <rFont val="Arial"/>
        <family val="2"/>
      </rPr>
      <t>Apr-24.</t>
    </r>
  </si>
  <si>
    <r>
      <t xml:space="preserve">Product " Global Polyamide Port Wise Export Data" is Updated till </t>
    </r>
    <r>
      <rPr>
        <sz val="11"/>
        <color rgb="FFFF0000"/>
        <rFont val="Arial"/>
        <family val="2"/>
      </rPr>
      <t>Apr-24.</t>
    </r>
  </si>
  <si>
    <r>
      <t xml:space="preserve">Product " Global Acetone Port Wise Export Data" is Updated till </t>
    </r>
    <r>
      <rPr>
        <sz val="11"/>
        <color rgb="FFFF0000"/>
        <rFont val="Arial"/>
        <family val="2"/>
      </rPr>
      <t>Apr-24.</t>
    </r>
  </si>
  <si>
    <r>
      <t xml:space="preserve">Product " Global Nitric Acid Port Wise Export Data" is Updated till </t>
    </r>
    <r>
      <rPr>
        <sz val="11"/>
        <color rgb="FFFF0000"/>
        <rFont val="Arial"/>
        <family val="2"/>
      </rPr>
      <t>Apr-24.</t>
    </r>
  </si>
  <si>
    <r>
      <t xml:space="preserve">Product " Global Vinyl Acetate Monomer Port Wise Export Data" is Updated till </t>
    </r>
    <r>
      <rPr>
        <sz val="11"/>
        <color rgb="FFFF0000"/>
        <rFont val="Arial"/>
        <family val="2"/>
      </rPr>
      <t>Apr-24.</t>
    </r>
  </si>
  <si>
    <r>
      <t xml:space="preserve">Working on Product " Global Acetone Port Wise Export Data " for Updating till </t>
    </r>
    <r>
      <rPr>
        <sz val="11"/>
        <color rgb="FFFF0000"/>
        <rFont val="Arial"/>
        <family val="2"/>
      </rPr>
      <t>Apr-24</t>
    </r>
  </si>
  <si>
    <t>Vinyl Acetate Monomer (VAM)</t>
  </si>
  <si>
    <t>Acetone</t>
  </si>
  <si>
    <t>Nitric Acid</t>
  </si>
  <si>
    <t>EPDM Rubber</t>
  </si>
  <si>
    <t>Polyamide</t>
  </si>
  <si>
    <t>Caustic Potash</t>
  </si>
  <si>
    <t>Date</t>
  </si>
  <si>
    <t>Product</t>
  </si>
  <si>
    <t>Epoxy Resin</t>
  </si>
  <si>
    <t>Fluoroelastomer</t>
  </si>
  <si>
    <t>Phenol</t>
  </si>
  <si>
    <t>Main Heading</t>
  </si>
  <si>
    <t>Dimethyl Carbonate</t>
  </si>
  <si>
    <t>Liquid Chlorine</t>
  </si>
  <si>
    <t>Bisphenol A</t>
  </si>
  <si>
    <t>Lines</t>
  </si>
  <si>
    <t>Sulphur</t>
  </si>
  <si>
    <t>Soda Ash</t>
  </si>
  <si>
    <t>Mixed Xylene</t>
  </si>
  <si>
    <t>Toluene Diisocyanate</t>
  </si>
  <si>
    <t>Styrene Block Copolymer</t>
  </si>
  <si>
    <t>Mono Ethylene Glycol (MEG)</t>
  </si>
  <si>
    <t>Acrylic Acid</t>
  </si>
  <si>
    <t>Ethylene Vinyl Acetate (EVA)</t>
  </si>
  <si>
    <t>Styrene Copolymer</t>
  </si>
  <si>
    <t>Titanium Dioxide</t>
  </si>
  <si>
    <t>C10 Solvent</t>
  </si>
  <si>
    <t>Phosphorus Pentachloride</t>
  </si>
  <si>
    <t>Iso Butyric Acid</t>
  </si>
  <si>
    <t>C9 Solvent</t>
  </si>
  <si>
    <t>2-Ethylhexyl Nitrate</t>
  </si>
  <si>
    <t>Erucic Acid</t>
  </si>
  <si>
    <t>Methyl Isobutyl Ketone (MIBK)</t>
  </si>
  <si>
    <t>Methylene Dichloride</t>
  </si>
  <si>
    <t>Benzyl Chloride</t>
  </si>
  <si>
    <t>Ethylene Carbonate (EC)</t>
  </si>
  <si>
    <t>NitroBenzene</t>
  </si>
  <si>
    <t>Sulphuric Acid</t>
  </si>
  <si>
    <t>Aniline</t>
  </si>
  <si>
    <t>Polyisobutylene</t>
  </si>
  <si>
    <t>Working on Product " Global Methionine Port Wise Export Data " for Updating on real time Basis.</t>
  </si>
  <si>
    <t>Methionine</t>
  </si>
  <si>
    <t>Neoprene Rubber</t>
  </si>
  <si>
    <t>Polyethylene Terephthalate (PET)</t>
  </si>
  <si>
    <t>Lysine Hydrochloride</t>
  </si>
  <si>
    <t>Natural Rubber (TSR)</t>
  </si>
  <si>
    <t>2-Ethylhexanol</t>
  </si>
  <si>
    <t>Benzoic Acid</t>
  </si>
  <si>
    <t>Benzaldehyde</t>
  </si>
  <si>
    <t>Working on Product " Global Titanium Dioxide Port Wise Export Data " for Updating on real time Basis.</t>
  </si>
  <si>
    <t>Ammonia</t>
  </si>
  <si>
    <t>Toluene Diisocyanate (TDI)</t>
  </si>
  <si>
    <t>Working on Product " Global Acetic Acid Port Wise Export Data " for Updating on real time Basis.</t>
  </si>
  <si>
    <t>Acetic Acid</t>
  </si>
  <si>
    <t>Vinyl Acetate Monomer</t>
  </si>
  <si>
    <t>on leave</t>
  </si>
  <si>
    <t>Global Acetone Port Wise Export</t>
  </si>
  <si>
    <t>Global Nitric Acid Port Wise Export</t>
  </si>
  <si>
    <t>Global Polyamide Port Wise Export</t>
  </si>
  <si>
    <t>Soda Ash</t>
  </si>
  <si>
    <t>Global Soda Ash Port Wise Export</t>
  </si>
  <si>
    <t>Global Mixed Xylene Port Wise Export</t>
  </si>
  <si>
    <t>Global Styrene Copolymer Port Wise Export</t>
  </si>
  <si>
    <t>Global Sodium Sulphate Port Wise Export</t>
  </si>
  <si>
    <t>Global Acrylic Acid Port Wise Export</t>
  </si>
  <si>
    <t>Global Fluoroelastomer Port Wise Export</t>
  </si>
  <si>
    <t>Global Bisphenol A Port Wise Export</t>
  </si>
  <si>
    <t>Global Caustic Potash Port Wise Export</t>
  </si>
  <si>
    <t>Global Dimethyl Carbonate Port Wise Export</t>
  </si>
  <si>
    <t>Global Liquid Chlorine Port Wise Export</t>
  </si>
  <si>
    <t>Global Sulphur Port Wise Export</t>
  </si>
  <si>
    <t>Global Ethylene Vinyl Acetate (EVA) Port Wise Export</t>
  </si>
  <si>
    <t>Working on Product " Global Epoxy Resin Port Wise Export Data " for Updating on real time Basis.</t>
  </si>
  <si>
    <t>Global Epoxy Resin Port Wise Export</t>
  </si>
  <si>
    <t>Working on Product " Global EPDM Rubber Port Wise Export Data " for Updating on real time Basis.</t>
  </si>
  <si>
    <t>Global EPDM Rubber Port Wise Export</t>
  </si>
  <si>
    <t>Global C10 Solvent Port Wise Export</t>
  </si>
  <si>
    <t>Global C9 Solvent Port Wise Export</t>
  </si>
  <si>
    <t>Global Iso Butyric Acid Port Wise Export</t>
  </si>
  <si>
    <t>Global Phosphorus Pentachloride Port Wise Export</t>
  </si>
  <si>
    <t>Global 2-Ethylhexyl Nitrate Port Wise Export</t>
  </si>
  <si>
    <t>Global Erucic Acid Port Wise Export</t>
  </si>
  <si>
    <t>Global Methyl Isobutyl Ketone (MIBK) Port Wise Export</t>
  </si>
  <si>
    <t>Linear Alkylbenzene Sulfonic Acid</t>
  </si>
  <si>
    <t>Global Benzyl Chloride Port Wise Export</t>
  </si>
  <si>
    <t>Global Methylene Dichloride Port Wise Export</t>
  </si>
  <si>
    <t>Global Sulphuric Acid Port Wise Export</t>
  </si>
  <si>
    <t>Global Linear Alkylbenzene Sulfonic Acid Port Wise Export</t>
  </si>
  <si>
    <t>Linear Alkyl Benzene (LAB)</t>
  </si>
  <si>
    <t>Global Ethylene Carbonate (EC) Port Wise Export</t>
  </si>
  <si>
    <t>Global Linear Alkyl Benzene (LAB) Port Wise Export</t>
  </si>
  <si>
    <t>Global NitroBenzene Port Wise Export</t>
  </si>
  <si>
    <t>Sodium Lauryl Ether Sulphate (SLES)</t>
  </si>
  <si>
    <t>Global Sodium Lauryl Ether Sulphate (SLES) Port Wise Export</t>
  </si>
  <si>
    <t>Phosphoric Acid</t>
  </si>
  <si>
    <t>Working on Product " Global Phosphoric Acid Port Wise Export Data " for Updating on real time Basis.</t>
  </si>
  <si>
    <t>Global Phosphoric Acid Port Wise Export</t>
  </si>
  <si>
    <t>Working on Product " Global Caustic Soda Port Wise Export Data " for Updating on real time Basis.</t>
  </si>
  <si>
    <t>tendata , Disable</t>
  </si>
  <si>
    <t>Working on Product " Global Calcium Carbonate Port Wise Export Data " for Updating on real time Basis.</t>
  </si>
  <si>
    <t>Caustic Soda</t>
  </si>
  <si>
    <t>Global Caustic Soda Port Wise Export</t>
  </si>
  <si>
    <t>Calcium Carbonate</t>
  </si>
  <si>
    <t>Global Calcium Carbonate Port Wise Export</t>
  </si>
  <si>
    <t>Holiday</t>
  </si>
  <si>
    <t>Global Aniline Port Wise Export</t>
  </si>
  <si>
    <t>Global Polyisobutylene Port Wise Export</t>
  </si>
  <si>
    <t>Global Methionine Port Wise Export</t>
  </si>
  <si>
    <t>Global Neoprene Rubber Port Wise Export</t>
  </si>
  <si>
    <t>Global Polyethylene Terephthalate (PET) Port Wise Export</t>
  </si>
  <si>
    <t>Global Lysine Hydrochloride Port Wise Export</t>
  </si>
  <si>
    <t>Global Natural Rubber (TSR) Port Wise Export</t>
  </si>
  <si>
    <t>Global 2-Ethylhexanol Port Wise Export</t>
  </si>
  <si>
    <t>On Leave</t>
  </si>
  <si>
    <t>Global Benzoic Acid Port Wise Export</t>
  </si>
  <si>
    <t>Global Benzaldehyde Port Wise Export</t>
  </si>
  <si>
    <t>Global Vinyl Acetate Monomer (VAM) Port Wise Export</t>
  </si>
  <si>
    <t>Global Toluene Diisocyanate (TDI) Port Wise Export</t>
  </si>
  <si>
    <t>Global Titanium Dioxide Port Wise Export</t>
  </si>
  <si>
    <t>Global Ammonia Port Wise Export</t>
  </si>
  <si>
    <t>Global Phenol Port Wise Export</t>
  </si>
  <si>
    <t>Global Acetic Acid Port Wise Export</t>
  </si>
  <si>
    <t>Propylene Oxide</t>
  </si>
  <si>
    <t>Global Propylene Oxide Port Wise Export</t>
  </si>
  <si>
    <t>Working on Product " Global Polyol Port Wise Export Data " for Updating on real time Basis.</t>
  </si>
  <si>
    <t>Polyol</t>
  </si>
  <si>
    <t>Global Polyol Port Wise Export</t>
  </si>
  <si>
    <t>Styrene</t>
  </si>
  <si>
    <t>Raffinate</t>
  </si>
  <si>
    <t>Tall Oil Rosin</t>
  </si>
  <si>
    <t>Global Styrene Port Wise Export</t>
  </si>
  <si>
    <t>Global Raffinate Port Wise Export</t>
  </si>
  <si>
    <t>Global Tall Oil Rosin Port Wise Export</t>
  </si>
  <si>
    <t>Methacrylic Acid</t>
  </si>
  <si>
    <t>Potassium Benzoate</t>
  </si>
  <si>
    <t>Glyoxylic Acid</t>
  </si>
  <si>
    <t>Global Methacrylic Acid Port Wise Export</t>
  </si>
  <si>
    <t>Global Potassium Benzoate Port Wise Export</t>
  </si>
  <si>
    <t>Global Glyoxylic Acid Port Wise Export</t>
  </si>
  <si>
    <t>Global Mono Ethylene Glycol (MEG) Port Wise Export</t>
  </si>
  <si>
    <t>Global Soda Ash Port Wise Export</t>
  </si>
  <si>
    <t>Polytetramethylene Ether Glycol (PTMEG)</t>
  </si>
  <si>
    <t>Dinitrochlorobenzene (DNCB)</t>
  </si>
  <si>
    <t>n-Butylene</t>
  </si>
  <si>
    <t>Diamino Sulfanilide</t>
  </si>
  <si>
    <t>Tallow Oil</t>
  </si>
  <si>
    <t>Metakaolin</t>
  </si>
  <si>
    <t>Dipropylene Glycol Monomethyl Ether</t>
  </si>
  <si>
    <t>Sorbitan Monostearate</t>
  </si>
  <si>
    <t>Global Polytetramethylene Ether Glycol (PTMEG) Port Wise Export</t>
  </si>
  <si>
    <t>Global Dinitrochlorobenzene (DNCB) Port Wise Export</t>
  </si>
  <si>
    <t>Global n-Butylene Port Wise Export</t>
  </si>
  <si>
    <t>Global Diamino Sulfanilide Port Wise Export</t>
  </si>
  <si>
    <t>Global Tallow Oil Port Wise Export</t>
  </si>
  <si>
    <t>Global Metakaolin Port Wise Export</t>
  </si>
  <si>
    <t>Global Dipropylene Glycol Monomethyl Ether Port Wise Export</t>
  </si>
  <si>
    <t>Global Sorbitan Monostearate Port Wise Export</t>
  </si>
  <si>
    <t>Stearic Acid</t>
  </si>
  <si>
    <t>Working on Product " Global Stearic Acid Port Wise Export Data " for Updating on real time Basis.</t>
  </si>
  <si>
    <t>Cyclopentane</t>
  </si>
  <si>
    <t>Taurine</t>
  </si>
  <si>
    <t>Sodium Tetraborate</t>
  </si>
  <si>
    <t>Global Stearic Acid Port Wise Export</t>
  </si>
  <si>
    <t>Global Cyclopentane Port Wise Export</t>
  </si>
  <si>
    <t>Global Taurine Port Wise Export</t>
  </si>
  <si>
    <t>Global Sodium Tetraborate Port Wise Export</t>
  </si>
  <si>
    <t>Epichlorohydrin</t>
  </si>
  <si>
    <t>Yellow Phosphorous</t>
  </si>
  <si>
    <t>Natural Steatite</t>
  </si>
  <si>
    <t>Tryptophan</t>
  </si>
  <si>
    <t>Global Epichlorohydrin Port Wise Export</t>
  </si>
  <si>
    <t>Global Yellow Phosphorous Port Wise Export</t>
  </si>
  <si>
    <t>Global Natural Steatite Port Wise Export</t>
  </si>
  <si>
    <t>Global Tryptophan Port Wise Export</t>
  </si>
  <si>
    <t>Methyl Ethyl Ketone (MEK)</t>
  </si>
  <si>
    <t>Tartaric Acid</t>
  </si>
  <si>
    <t>Amlodipine Besylate</t>
  </si>
  <si>
    <t>Global Methyl Ethyl Ketone (MEK) Port Wise Export</t>
  </si>
  <si>
    <t>Global Tartaric Acid Port Wise Export</t>
  </si>
  <si>
    <t>Global Amlodipine Besylate Port Wise Export</t>
  </si>
  <si>
    <t>Hydrochloric Acid</t>
  </si>
  <si>
    <t>Isobutylene</t>
  </si>
  <si>
    <t>Sodium Hypochlorite</t>
  </si>
  <si>
    <t>Triethanolamine</t>
  </si>
  <si>
    <t>Global Hydrochloric Acid Port Wise Export</t>
  </si>
  <si>
    <t>Global Isobutylene Port Wise Export</t>
  </si>
  <si>
    <t>Global Sodium Hypochlorite Port Wise Export</t>
  </si>
  <si>
    <t>Global Triethanolamine Port Wise Export</t>
  </si>
  <si>
    <t>Carbon Black</t>
  </si>
  <si>
    <t>Global Carbon Black Port Wise Export</t>
  </si>
  <si>
    <t>Glycerine</t>
  </si>
  <si>
    <t>Global Glycerine Port Wise Export</t>
  </si>
  <si>
    <t>Polypropylene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</si>
</sst>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333333"/>
      <name val="Arial"/>
      <family val="2"/>
    </font>
    <font>
      <sz val="11"/>
      <color rgb="FFFF0000"/>
      <name val="Arial"/>
      <family val="2"/>
    </font>
    <font>
      <sz val="11"/>
      <color theme="1"/>
      <name val="Aptos"/>
      <family val="2"/>
    </font>
    <font>
      <sz val="11"/>
      <name val="Aptos"/>
      <family val="2"/>
    </font>
    <font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C00000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3" xfId="0" applyBorder="1"/>
    <xf numFmtId="0" fontId="2" fillId="0" borderId="0" xfId="1" applyAlignment="1">
      <alignment horizontal="center" vertical="center"/>
    </xf>
    <xf numFmtId="0" fontId="2" fillId="0" borderId="0" xfId="1"/>
    <xf numFmtId="0" fontId="4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/>
    <xf numFmtId="0" fontId="4" fillId="0" borderId="0" xfId="0" applyFont="1" applyAlignment="1">
      <alignment horizontal="center" vertical="center"/>
    </xf>
    <xf numFmtId="0" fontId="5" fillId="2" borderId="0" xfId="0" applyFont="1" applyFill="1"/>
    <xf numFmtId="16" fontId="0" fillId="0" borderId="0" xfId="0" applyNumberFormat="1"/>
    <xf numFmtId="0" fontId="4" fillId="4" borderId="0" xfId="0" applyFont="1" applyFill="1"/>
    <xf numFmtId="0" fontId="7" fillId="0" borderId="0" xfId="0" applyFont="1" applyAlignment="1">
      <alignment horizontal="left" vertical="center" indent="1"/>
    </xf>
    <xf numFmtId="0" fontId="4" fillId="4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9" fillId="0" borderId="0" xfId="0" applyFont="1"/>
    <xf numFmtId="0" fontId="0" fillId="2" borderId="0" xfId="0" applyFill="1"/>
    <xf numFmtId="0" fontId="10" fillId="0" borderId="0" xfId="0" applyFont="1"/>
    <xf numFmtId="0" fontId="11" fillId="0" borderId="0" xfId="0" applyFont="1" applyAlignment="1">
      <alignment horizontal="left" vertical="center" indent="1"/>
    </xf>
    <xf numFmtId="0" fontId="10" fillId="2" borderId="0" xfId="0" applyFont="1" applyFill="1"/>
    <xf numFmtId="0" fontId="8" fillId="2" borderId="0" xfId="0" applyFont="1" applyFill="1" applyAlignment="1">
      <alignment horizontal="left" vertical="center" indent="1"/>
    </xf>
    <xf numFmtId="0" fontId="0" fillId="5" borderId="0" xfId="0" applyFill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0</xdr:row>
          <xdr:rowOff>57150</xdr:rowOff>
        </xdr:from>
        <xdr:to>
          <xdr:col>7</xdr:col>
          <xdr:colOff>428625</xdr:colOff>
          <xdr:row>0</xdr:row>
          <xdr:rowOff>438150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0</xdr:row>
          <xdr:rowOff>57150</xdr:rowOff>
        </xdr:from>
        <xdr:to>
          <xdr:col>8</xdr:col>
          <xdr:colOff>552450</xdr:colOff>
          <xdr:row>0</xdr:row>
          <xdr:rowOff>428625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4E198E0-2BD7-4064-B7D3-B1F886FB3C60}">
  <we:reference id="wa200005271" version="2.4.4.0" store="en-US" storeType="OMEX"/>
  <we:alternateReferences>
    <we:reference id="wa200005271" version="2.4.4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\..\..\Pictures\IMG_20240214_095429.png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hyperlink" Target="mailto:bhupendra.kumar@techsciresearch.com" TargetMode="External"/><Relationship Id="rId7" Type="http://schemas.openxmlformats.org/officeDocument/2006/relationships/image" Target="../media/image1.emf"/><Relationship Id="rId2" Type="http://schemas.openxmlformats.org/officeDocument/2006/relationships/hyperlink" Target="mailto:ashish.kumar@techsciresearch.com" TargetMode="External"/><Relationship Id="rId1" Type="http://schemas.openxmlformats.org/officeDocument/2006/relationships/hyperlink" Target="mailto:chandan.kumar@techsciresearch.com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64C92-080F-4298-89D0-5180DEEE2D05}">
  <sheetPr codeName="Sheet1"/>
  <dimension ref="A1:Q74"/>
  <sheetViews>
    <sheetView workbookViewId="0">
      <pane ySplit="3" topLeftCell="A16" activePane="bottomLeft" state="frozen"/>
      <selection pane="bottomLeft" activeCell="G21" sqref="G21"/>
    </sheetView>
  </sheetViews>
  <sheetFormatPr defaultRowHeight="15" x14ac:dyDescent="0.25"/>
  <cols>
    <col min="1" max="1" width="18" customWidth="1"/>
    <col min="2" max="2" width="33.42578125" bestFit="1" customWidth="1"/>
    <col min="3" max="3" width="14" bestFit="1" customWidth="1"/>
    <col min="4" max="5" width="14.5703125" customWidth="1"/>
    <col min="6" max="6" width="18.7109375" bestFit="1" customWidth="1"/>
    <col min="7" max="7" width="13.42578125" bestFit="1" customWidth="1"/>
    <col min="8" max="8" width="37.5703125" bestFit="1" customWidth="1"/>
  </cols>
  <sheetData>
    <row r="1" spans="1:17" ht="15.75" thickBot="1" x14ac:dyDescent="0.3">
      <c r="A1" s="1"/>
      <c r="Q1" t="s">
        <v>56</v>
      </c>
    </row>
    <row r="2" spans="1:17" x14ac:dyDescent="0.25">
      <c r="A2" s="2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Q2">
        <v>133829</v>
      </c>
    </row>
    <row r="3" spans="1:17" ht="15" customHeight="1" x14ac:dyDescent="0.25">
      <c r="A3" s="4" t="s">
        <v>8</v>
      </c>
      <c r="B3" s="4" t="s">
        <v>9</v>
      </c>
      <c r="C3" s="4" t="s">
        <v>10</v>
      </c>
      <c r="D3" s="4" t="s">
        <v>11</v>
      </c>
      <c r="E3" s="4"/>
      <c r="F3" s="4">
        <v>7827057655</v>
      </c>
      <c r="G3" s="4"/>
      <c r="H3" s="4" t="s">
        <v>12</v>
      </c>
      <c r="I3" s="5" t="s">
        <v>13</v>
      </c>
    </row>
    <row r="5" spans="1:17" ht="15" customHeight="1" x14ac:dyDescent="0.25"/>
    <row r="6" spans="1:17" ht="15" customHeight="1" x14ac:dyDescent="0.25">
      <c r="B6" s="9" t="s">
        <v>35</v>
      </c>
    </row>
    <row r="7" spans="1:17" ht="15" customHeight="1" x14ac:dyDescent="0.25">
      <c r="B7" s="9" t="s">
        <v>14</v>
      </c>
    </row>
    <row r="9" spans="1:17" x14ac:dyDescent="0.25">
      <c r="B9" t="s">
        <v>15</v>
      </c>
    </row>
    <row r="11" spans="1:17" x14ac:dyDescent="0.25">
      <c r="B11" t="s">
        <v>33</v>
      </c>
    </row>
    <row r="13" spans="1:17" x14ac:dyDescent="0.25">
      <c r="B13" s="9" t="s">
        <v>34</v>
      </c>
    </row>
    <row r="15" spans="1:17" x14ac:dyDescent="0.25">
      <c r="B15" s="9" t="s">
        <v>36</v>
      </c>
    </row>
    <row r="16" spans="1:17" x14ac:dyDescent="0.25">
      <c r="B16" t="s">
        <v>37</v>
      </c>
    </row>
    <row r="18" spans="2:2" x14ac:dyDescent="0.25">
      <c r="B18" s="9" t="s">
        <v>38</v>
      </c>
    </row>
    <row r="19" spans="2:2" x14ac:dyDescent="0.25">
      <c r="B19" t="s">
        <v>39</v>
      </c>
    </row>
    <row r="21" spans="2:2" x14ac:dyDescent="0.25">
      <c r="B21" s="9" t="s">
        <v>40</v>
      </c>
    </row>
    <row r="23" spans="2:2" x14ac:dyDescent="0.25">
      <c r="B23" s="9" t="s">
        <v>41</v>
      </c>
    </row>
    <row r="24" spans="2:2" x14ac:dyDescent="0.25">
      <c r="B24" s="9" t="s">
        <v>42</v>
      </c>
    </row>
    <row r="27" spans="2:2" x14ac:dyDescent="0.25">
      <c r="B27" s="9" t="s">
        <v>43</v>
      </c>
    </row>
    <row r="29" spans="2:2" x14ac:dyDescent="0.25">
      <c r="B29" s="9" t="s">
        <v>44</v>
      </c>
    </row>
    <row r="31" spans="2:2" x14ac:dyDescent="0.25">
      <c r="B31" s="9" t="s">
        <v>45</v>
      </c>
    </row>
    <row r="33" spans="1:2" x14ac:dyDescent="0.25">
      <c r="B33" s="9" t="s">
        <v>46</v>
      </c>
    </row>
    <row r="35" spans="1:2" x14ac:dyDescent="0.25">
      <c r="B35" s="9" t="s">
        <v>47</v>
      </c>
    </row>
    <row r="37" spans="1:2" x14ac:dyDescent="0.25">
      <c r="A37" t="s">
        <v>48</v>
      </c>
      <c r="B37" s="9" t="s">
        <v>49</v>
      </c>
    </row>
    <row r="39" spans="1:2" x14ac:dyDescent="0.25">
      <c r="B39" s="9" t="s">
        <v>50</v>
      </c>
    </row>
    <row r="41" spans="1:2" x14ac:dyDescent="0.25">
      <c r="B41" s="9" t="s">
        <v>51</v>
      </c>
    </row>
    <row r="42" spans="1:2" x14ac:dyDescent="0.25">
      <c r="B42" s="9" t="s">
        <v>52</v>
      </c>
    </row>
    <row r="44" spans="1:2" x14ac:dyDescent="0.25">
      <c r="B44" s="9" t="s">
        <v>53</v>
      </c>
    </row>
    <row r="46" spans="1:2" x14ac:dyDescent="0.25">
      <c r="B46" s="9" t="s">
        <v>54</v>
      </c>
    </row>
    <row r="48" spans="1:2" x14ac:dyDescent="0.25">
      <c r="B48" s="9" t="s">
        <v>55</v>
      </c>
    </row>
    <row r="50" spans="1:6" x14ac:dyDescent="0.25">
      <c r="B50" s="9" t="s">
        <v>58</v>
      </c>
      <c r="F50" t="s">
        <v>57</v>
      </c>
    </row>
    <row r="52" spans="1:6" x14ac:dyDescent="0.25">
      <c r="B52" s="9" t="s">
        <v>59</v>
      </c>
    </row>
    <row r="54" spans="1:6" x14ac:dyDescent="0.25">
      <c r="B54" s="9" t="s">
        <v>60</v>
      </c>
    </row>
    <row r="56" spans="1:6" x14ac:dyDescent="0.25">
      <c r="B56" s="9" t="s">
        <v>61</v>
      </c>
    </row>
    <row r="58" spans="1:6" x14ac:dyDescent="0.25">
      <c r="B58" s="9" t="s">
        <v>62</v>
      </c>
    </row>
    <row r="60" spans="1:6" x14ac:dyDescent="0.25">
      <c r="B60" s="9" t="s">
        <v>62</v>
      </c>
    </row>
    <row r="62" spans="1:6" x14ac:dyDescent="0.25">
      <c r="B62" s="11" t="s">
        <v>62</v>
      </c>
    </row>
    <row r="64" spans="1:6" x14ac:dyDescent="0.25">
      <c r="A64" s="12">
        <v>45418</v>
      </c>
      <c r="B64" s="9" t="s">
        <v>63</v>
      </c>
    </row>
    <row r="66" spans="1:2" x14ac:dyDescent="0.25">
      <c r="A66" s="12">
        <v>45419</v>
      </c>
      <c r="B66" s="9" t="s">
        <v>64</v>
      </c>
    </row>
    <row r="68" spans="1:2" x14ac:dyDescent="0.25">
      <c r="A68" s="12">
        <v>45420</v>
      </c>
      <c r="B68" s="9" t="s">
        <v>65</v>
      </c>
    </row>
    <row r="70" spans="1:2" x14ac:dyDescent="0.25">
      <c r="A70" s="12">
        <v>45421</v>
      </c>
      <c r="B70" s="9" t="s">
        <v>68</v>
      </c>
    </row>
    <row r="71" spans="1:2" x14ac:dyDescent="0.25">
      <c r="A71" s="12">
        <v>45421</v>
      </c>
      <c r="B71" s="9" t="s">
        <v>69</v>
      </c>
    </row>
    <row r="73" spans="1:2" x14ac:dyDescent="0.25">
      <c r="A73" s="12">
        <v>45422</v>
      </c>
      <c r="B73" s="9" t="s">
        <v>66</v>
      </c>
    </row>
    <row r="74" spans="1:2" x14ac:dyDescent="0.25">
      <c r="A74" s="12">
        <v>45422</v>
      </c>
      <c r="B74" s="9" t="s">
        <v>67</v>
      </c>
    </row>
  </sheetData>
  <hyperlinks>
    <hyperlink ref="I3" r:id="rId1" xr:uid="{999E3561-0D79-45BA-B0A9-0F6C71CA1B4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8B7CC-73FD-496E-8AE5-BC9F0535D7A1}">
  <sheetPr codeName="Sheet2"/>
  <dimension ref="A1:K9"/>
  <sheetViews>
    <sheetView showGridLines="0" workbookViewId="0">
      <pane ySplit="1" topLeftCell="A2" activePane="bottomLeft" state="frozen"/>
      <selection pane="bottomLeft" activeCell="D14" sqref="D14"/>
    </sheetView>
  </sheetViews>
  <sheetFormatPr defaultRowHeight="15" x14ac:dyDescent="0.25"/>
  <cols>
    <col min="1" max="1" width="7" customWidth="1"/>
    <col min="2" max="2" width="10.7109375" bestFit="1" customWidth="1"/>
    <col min="3" max="3" width="37.5703125" bestFit="1" customWidth="1"/>
    <col min="4" max="4" width="10.7109375" customWidth="1"/>
    <col min="5" max="5" width="24.140625" bestFit="1" customWidth="1"/>
    <col min="6" max="6" width="62.5703125" customWidth="1"/>
    <col min="8" max="8" width="11.85546875" customWidth="1"/>
    <col min="9" max="9" width="9" customWidth="1"/>
  </cols>
  <sheetData>
    <row r="1" spans="1:11" s="8" customFormat="1" ht="38.25" customHeight="1" x14ac:dyDescent="0.25">
      <c r="A1" s="7" t="s">
        <v>16</v>
      </c>
      <c r="B1" s="7" t="s">
        <v>0</v>
      </c>
      <c r="C1" s="7" t="s">
        <v>17</v>
      </c>
      <c r="D1" s="7" t="s">
        <v>24</v>
      </c>
      <c r="E1" s="7" t="s">
        <v>18</v>
      </c>
      <c r="F1" s="7" t="s">
        <v>19</v>
      </c>
      <c r="G1" s="7"/>
      <c r="H1" s="7"/>
      <c r="I1" s="7"/>
      <c r="J1" s="10"/>
      <c r="K1" s="10"/>
    </row>
    <row r="2" spans="1:11" x14ac:dyDescent="0.25">
      <c r="B2" t="s">
        <v>20</v>
      </c>
      <c r="C2" s="6" t="s">
        <v>26</v>
      </c>
      <c r="D2" t="s">
        <v>23</v>
      </c>
      <c r="E2" t="s">
        <v>31</v>
      </c>
      <c r="F2" s="6" t="s">
        <v>28</v>
      </c>
    </row>
    <row r="3" spans="1:11" x14ac:dyDescent="0.25">
      <c r="B3" t="s">
        <v>21</v>
      </c>
      <c r="C3" s="6" t="s">
        <v>27</v>
      </c>
      <c r="D3" t="s">
        <v>23</v>
      </c>
      <c r="E3" t="s">
        <v>25</v>
      </c>
      <c r="F3" s="6" t="s">
        <v>29</v>
      </c>
    </row>
    <row r="4" spans="1:11" x14ac:dyDescent="0.25">
      <c r="B4" t="s">
        <v>22</v>
      </c>
      <c r="C4" s="6" t="s">
        <v>12</v>
      </c>
      <c r="D4" t="s">
        <v>23</v>
      </c>
      <c r="E4" t="s">
        <v>32</v>
      </c>
      <c r="F4" s="6" t="s">
        <v>30</v>
      </c>
    </row>
    <row r="5" spans="1:11" x14ac:dyDescent="0.25">
      <c r="F5" s="6"/>
    </row>
    <row r="6" spans="1:11" x14ac:dyDescent="0.25">
      <c r="F6" s="6"/>
    </row>
    <row r="7" spans="1:11" x14ac:dyDescent="0.25">
      <c r="F7" s="6"/>
    </row>
    <row r="8" spans="1:11" x14ac:dyDescent="0.25">
      <c r="F8" s="6"/>
    </row>
    <row r="9" spans="1:11" x14ac:dyDescent="0.25">
      <c r="F9" s="6"/>
    </row>
  </sheetData>
  <sheetProtection algorithmName="SHA-512" hashValue="8RZf3AR0sV0rBBEYaHEBrmLOcbY6csEkWaQVVD1vYUEINVLva0+TUOPaO8tdFgdWLg/1Jz9qd3xbR6Po6tmCWw==" saltValue="1g3uzI+Jfw+A0FZilBhtzA==" spinCount="100000" sheet="1" objects="1" scenarios="1"/>
  <conditionalFormatting sqref="A1:A1048576">
    <cfRule type="duplicateValues" dxfId="0" priority="1"/>
  </conditionalFormatting>
  <hyperlinks>
    <hyperlink ref="C2" r:id="rId1" xr:uid="{ADF017DC-5963-47C4-80FB-38166B1561BD}"/>
    <hyperlink ref="C3" r:id="rId2" xr:uid="{278C3717-1E75-4B11-BD5A-B2D9E4DB1102}"/>
    <hyperlink ref="C4" r:id="rId3" xr:uid="{3B22C12F-BB13-4080-B4E1-BD0F607A1B01}"/>
  </hyperlinks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7</xdr:col>
                <xdr:colOff>495300</xdr:colOff>
                <xdr:row>0</xdr:row>
                <xdr:rowOff>57150</xdr:rowOff>
              </from>
              <to>
                <xdr:col>8</xdr:col>
                <xdr:colOff>552450</xdr:colOff>
                <xdr:row>0</xdr:row>
                <xdr:rowOff>428625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autoPict="0" r:id="rId9">
            <anchor moveWithCells="1">
              <from>
                <xdr:col>6</xdr:col>
                <xdr:colOff>133350</xdr:colOff>
                <xdr:row>0</xdr:row>
                <xdr:rowOff>57150</xdr:rowOff>
              </from>
              <to>
                <xdr:col>7</xdr:col>
                <xdr:colOff>428625</xdr:colOff>
                <xdr:row>0</xdr:row>
                <xdr:rowOff>438150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7E512-EDDB-42B8-9925-00A5828FD2CB}">
  <dimension ref="A1:K109"/>
  <sheetViews>
    <sheetView tabSelected="1" workbookViewId="0">
      <pane ySplit="1" topLeftCell="A81" activePane="bottomLeft" state="frozen"/>
      <selection pane="bottomLeft" activeCell="C113" sqref="C113"/>
    </sheetView>
  </sheetViews>
  <sheetFormatPr defaultRowHeight="15" x14ac:dyDescent="0.25"/>
  <cols>
    <col min="2" max="2" width="28.7109375" bestFit="1" customWidth="1"/>
    <col min="3" max="3" width="27.5703125" customWidth="1"/>
    <col min="4" max="4" width="20" customWidth="1"/>
    <col min="5" max="5" width="22.42578125" customWidth="1"/>
    <col min="6" max="6" width="17.85546875" customWidth="1"/>
    <col min="7" max="7" width="14.7109375" customWidth="1"/>
    <col min="8" max="8" width="14.85546875" customWidth="1"/>
    <col min="9" max="9" width="16.5703125" customWidth="1"/>
    <col min="10" max="10" width="4.85546875" customWidth="1"/>
    <col min="11" max="11" width="162.42578125" bestFit="1" customWidth="1"/>
  </cols>
  <sheetData>
    <row r="1" spans="1:11" ht="15.75" x14ac:dyDescent="0.25">
      <c r="A1" s="13" t="s">
        <v>76</v>
      </c>
      <c r="B1" s="13" t="s">
        <v>77</v>
      </c>
      <c r="C1" s="13" t="s">
        <v>77</v>
      </c>
      <c r="D1" s="13" t="s">
        <v>77</v>
      </c>
      <c r="E1" s="13" t="s">
        <v>77</v>
      </c>
      <c r="F1" s="13" t="s">
        <v>77</v>
      </c>
      <c r="G1" s="13" t="s">
        <v>77</v>
      </c>
      <c r="H1" s="13" t="s">
        <v>77</v>
      </c>
      <c r="I1" s="13" t="s">
        <v>77</v>
      </c>
      <c r="K1" s="15" t="s">
        <v>81</v>
      </c>
    </row>
    <row r="2" spans="1:11" x14ac:dyDescent="0.25">
      <c r="A2" s="12">
        <v>45418</v>
      </c>
      <c r="B2" t="s">
        <v>78</v>
      </c>
      <c r="K2" s="9" t="str">
        <f t="shared" ref="K2:K6" si="0">"Products- "&amp;B2&amp;", "&amp;C2&amp;", "&amp;D2&amp;", "&amp;E2&amp;", "&amp;F2&amp;", "&amp;G2&amp;", "&amp;H2&amp;", "&amp;I2&amp;" are updated on real time Basis."</f>
        <v>Products- Epoxy Resin, , , , , , ,  are updated on real time Basis.</v>
      </c>
    </row>
    <row r="3" spans="1:11" x14ac:dyDescent="0.25">
      <c r="A3" s="12">
        <v>45419</v>
      </c>
      <c r="B3" t="s">
        <v>73</v>
      </c>
      <c r="K3" s="9" t="str">
        <f t="shared" si="0"/>
        <v>Products- EPDM Rubber, , , , , , ,  are updated on real time Basis.</v>
      </c>
    </row>
    <row r="4" spans="1:11" x14ac:dyDescent="0.25">
      <c r="A4" s="12">
        <v>45420</v>
      </c>
      <c r="B4" t="s">
        <v>74</v>
      </c>
      <c r="K4" s="9" t="str">
        <f t="shared" si="0"/>
        <v>Products- Polyamide, , , , , , ,  are updated on real time Basis.</v>
      </c>
    </row>
    <row r="5" spans="1:11" x14ac:dyDescent="0.25">
      <c r="A5" s="12">
        <v>45421</v>
      </c>
      <c r="B5" t="s">
        <v>124</v>
      </c>
      <c r="K5" s="9" t="str">
        <f t="shared" si="0"/>
        <v>Products- Vinyl Acetate Monomer, , , , , , ,  are updated on real time Basis.</v>
      </c>
    </row>
    <row r="6" spans="1:11" x14ac:dyDescent="0.25">
      <c r="A6" s="12">
        <v>45422</v>
      </c>
      <c r="B6" t="s">
        <v>71</v>
      </c>
      <c r="C6" t="s">
        <v>72</v>
      </c>
      <c r="K6" s="9" t="str">
        <f t="shared" si="0"/>
        <v>Products- Acetone, Nitric Acid, , , , , ,  are updated on real time Basis.</v>
      </c>
    </row>
    <row r="7" spans="1:11" x14ac:dyDescent="0.25">
      <c r="A7" s="12">
        <v>45425</v>
      </c>
      <c r="B7" t="s">
        <v>70</v>
      </c>
      <c r="C7" t="s">
        <v>71</v>
      </c>
      <c r="D7" t="s">
        <v>72</v>
      </c>
      <c r="E7" t="s">
        <v>73</v>
      </c>
      <c r="F7" t="s">
        <v>74</v>
      </c>
      <c r="G7" t="s">
        <v>75</v>
      </c>
      <c r="K7" s="9" t="str">
        <f>"Products- "&amp;B7&amp;", "&amp;C7&amp;", "&amp;D7&amp;", "&amp;E7&amp;", "&amp;F7&amp;", "&amp;G7&amp;", "&amp;H7&amp;", "&amp;I7&amp;" are updated on real time Basis."</f>
        <v>Products- Vinyl Acetate Monomer (VAM), Acetone, Nitric Acid, EPDM Rubber, Polyamide, Caustic Potash, ,  are updated on real time Basis.</v>
      </c>
    </row>
    <row r="8" spans="1:11" x14ac:dyDescent="0.25">
      <c r="A8" s="12">
        <v>45426</v>
      </c>
      <c r="B8" t="s">
        <v>79</v>
      </c>
      <c r="C8" t="s">
        <v>78</v>
      </c>
      <c r="D8" t="s">
        <v>80</v>
      </c>
      <c r="K8" s="9" t="str">
        <f t="shared" ref="K8:K9" si="1">"Products- "&amp;B8&amp;", "&amp;C8&amp;", "&amp;D8&amp;", "&amp;E8&amp;", "&amp;F8&amp;", "&amp;G8&amp;", "&amp;H8&amp;", "&amp;I8&amp;" are updated on real time Basis."</f>
        <v>Products- Fluoroelastomer, Epoxy Resin, Phenol, , , , ,  are updated on real time Basis.</v>
      </c>
    </row>
    <row r="9" spans="1:11" x14ac:dyDescent="0.25">
      <c r="A9" s="12">
        <v>45427</v>
      </c>
      <c r="B9" t="s">
        <v>82</v>
      </c>
      <c r="C9" t="s">
        <v>83</v>
      </c>
      <c r="K9" s="9" t="str">
        <f t="shared" si="1"/>
        <v>Products- Dimethyl Carbonate, Liquid Chlorine, , , , , ,  are updated on real time Basis.</v>
      </c>
    </row>
    <row r="10" spans="1:11" x14ac:dyDescent="0.25">
      <c r="A10" s="12">
        <v>45428</v>
      </c>
      <c r="B10" t="s">
        <v>72</v>
      </c>
      <c r="C10" t="s">
        <v>73</v>
      </c>
      <c r="D10" t="s">
        <v>74</v>
      </c>
      <c r="E10" t="s">
        <v>75</v>
      </c>
      <c r="F10" t="s">
        <v>82</v>
      </c>
      <c r="G10" t="s">
        <v>83</v>
      </c>
      <c r="H10" t="s">
        <v>84</v>
      </c>
      <c r="I10" t="s">
        <v>79</v>
      </c>
      <c r="K10" s="9" t="str">
        <f>"Products- "&amp;B10&amp;", "&amp;C10&amp;", "&amp;D10&amp;", "&amp;E10&amp;", "&amp;F10&amp;", "&amp;G10&amp;", "&amp;H10&amp;", and "&amp;I10&amp;" are updated on real time Basis."</f>
        <v>Products- Nitric Acid, EPDM Rubber, Polyamide, Caustic Potash, Dimethyl Carbonate, Liquid Chlorine, Bisphenol A, and Fluoroelastomer are updated on real time Basis.</v>
      </c>
    </row>
    <row r="11" spans="1:11" x14ac:dyDescent="0.25">
      <c r="A11" s="12">
        <v>45429</v>
      </c>
      <c r="B11" t="s">
        <v>86</v>
      </c>
      <c r="K11" s="9" t="str">
        <f>"Products- "&amp;B11&amp;", "&amp;C11&amp;", "&amp;D11&amp;", "&amp;E11&amp;", "&amp;F11&amp;", "&amp;G11&amp;", "&amp;H11&amp;", and "&amp;I11&amp;" are updated on real time Basis."</f>
        <v>Products- Sulphur, , , , , , , and  are updated on real time Basis.</v>
      </c>
    </row>
    <row r="12" spans="1:11" x14ac:dyDescent="0.25">
      <c r="A12" s="12">
        <v>45432</v>
      </c>
      <c r="B12" t="s">
        <v>70</v>
      </c>
      <c r="C12" t="s">
        <v>71</v>
      </c>
      <c r="D12" t="s">
        <v>87</v>
      </c>
      <c r="K12" s="9" t="str">
        <f>"Products- "&amp;B12&amp;", "&amp;C12&amp;", "&amp;D12&amp;", "&amp;E12&amp;", "&amp;F12&amp;", "&amp;G12&amp;", "&amp;H12&amp;", and "&amp;I12&amp;" are updated on real time Basis."</f>
        <v>Products- Vinyl Acetate Monomer (VAM), Acetone, Soda Ash, , , , , and  are updated on real time Basis.</v>
      </c>
    </row>
    <row r="13" spans="1:11" x14ac:dyDescent="0.25">
      <c r="A13" s="12">
        <v>45433</v>
      </c>
      <c r="B13" t="s">
        <v>88</v>
      </c>
      <c r="C13" t="s">
        <v>89</v>
      </c>
      <c r="D13" t="s">
        <v>79</v>
      </c>
      <c r="E13" t="s">
        <v>80</v>
      </c>
      <c r="K13" s="9" t="str">
        <f>"Products- "&amp;B13&amp;", "&amp;C13&amp;", "&amp;D13&amp;", "&amp;E13&amp;", "&amp;F13&amp;", "&amp;G13&amp;", "&amp;H13&amp;", and "&amp;I13&amp;" are updated on real time Basis."</f>
        <v>Products- Mixed Xylene, Toluene Diisocyanate, Fluoroelastomer, Phenol, , , , and  are updated on real time Basis.</v>
      </c>
    </row>
    <row r="14" spans="1:11" x14ac:dyDescent="0.25">
      <c r="A14" s="12">
        <v>45434</v>
      </c>
      <c r="B14" t="s">
        <v>90</v>
      </c>
      <c r="C14" t="s">
        <v>57</v>
      </c>
      <c r="K14" s="9" t="str">
        <f>"Products- "&amp;B14&amp;", "&amp;C14&amp;", "&amp;D14&amp;", "&amp;E14&amp;", "&amp;F14&amp;", "&amp;G14&amp;", "&amp;H14&amp;", and "&amp;I14&amp;" are updated on real time Basis."</f>
        <v>Products- Styrene Block Copolymer, Sodium Sulphate, , , , , , and  are updated on real time Basis.</v>
      </c>
    </row>
    <row r="15" spans="1:11" x14ac:dyDescent="0.25">
      <c r="A15" s="12">
        <v>45435</v>
      </c>
      <c r="B15" t="s">
        <v>71</v>
      </c>
      <c r="C15" t="s">
        <v>72</v>
      </c>
      <c r="D15" t="s">
        <v>91</v>
      </c>
      <c r="K15" s="9" t="str">
        <f t="shared" ref="K15:K63" si="2">"Products- "&amp;B15&amp;", "&amp;C15&amp;", "&amp;D15&amp;", "&amp;E15&amp;", "&amp;F15&amp;", "&amp;G15&amp;", "&amp;H15&amp;", and "&amp;I15&amp;" are updated on real time Basis."</f>
        <v>Products- Acetone, Nitric Acid, Mono Ethylene Glycol (MEG), , , , , and  are updated on real time Basis.</v>
      </c>
    </row>
    <row r="16" spans="1:11" x14ac:dyDescent="0.25">
      <c r="A16" s="12">
        <v>45436</v>
      </c>
      <c r="B16" t="s">
        <v>75</v>
      </c>
      <c r="C16" t="s">
        <v>89</v>
      </c>
      <c r="D16" t="s">
        <v>79</v>
      </c>
      <c r="E16" t="s">
        <v>92</v>
      </c>
      <c r="F16" t="s">
        <v>80</v>
      </c>
      <c r="G16" t="s">
        <v>87</v>
      </c>
      <c r="K16" s="9" t="str">
        <f t="shared" si="2"/>
        <v>Products- Caustic Potash, Toluene Diisocyanate, Fluoroelastomer, Acrylic Acid, Phenol, Soda Ash, , and  are updated on real time Basis.</v>
      </c>
    </row>
    <row r="17" spans="1:11" x14ac:dyDescent="0.25">
      <c r="A17" s="12">
        <v>45439</v>
      </c>
      <c r="B17" t="s">
        <v>88</v>
      </c>
      <c r="C17" s="14" t="s">
        <v>57</v>
      </c>
      <c r="K17" s="9" t="str">
        <f t="shared" si="2"/>
        <v>Products- Mixed Xylene, Sodium Sulphate, , , , , , and  are updated on real time Basis.</v>
      </c>
    </row>
    <row r="18" spans="1:11" x14ac:dyDescent="0.25">
      <c r="A18" s="12">
        <v>45440</v>
      </c>
      <c r="B18" t="s">
        <v>82</v>
      </c>
      <c r="C18" t="s">
        <v>83</v>
      </c>
      <c r="D18" t="s">
        <v>84</v>
      </c>
      <c r="E18" t="s">
        <v>86</v>
      </c>
      <c r="K18" s="9" t="str">
        <f t="shared" si="2"/>
        <v>Products- Dimethyl Carbonate, Liquid Chlorine, Bisphenol A, Sulphur, , , , and  are updated on real time Basis.</v>
      </c>
    </row>
    <row r="19" spans="1:11" x14ac:dyDescent="0.25">
      <c r="A19" s="12">
        <v>45441</v>
      </c>
      <c r="B19" t="s">
        <v>75</v>
      </c>
      <c r="C19" t="s">
        <v>93</v>
      </c>
      <c r="K19" s="9" t="str">
        <f t="shared" si="2"/>
        <v>Products- Caustic Potash, Ethylene Vinyl Acetate (EVA), , , , , , and  are updated on real time Basis.</v>
      </c>
    </row>
    <row r="20" spans="1:11" x14ac:dyDescent="0.25">
      <c r="A20" s="12">
        <v>45442</v>
      </c>
      <c r="B20" t="s">
        <v>73</v>
      </c>
      <c r="C20" t="s">
        <v>78</v>
      </c>
      <c r="K20" s="9" t="str">
        <f t="shared" si="2"/>
        <v>Products- EPDM Rubber, Epoxy Resin, , , , , , and  are updated on real time Basis.</v>
      </c>
    </row>
    <row r="21" spans="1:11" x14ac:dyDescent="0.25">
      <c r="A21" s="12">
        <v>45443</v>
      </c>
      <c r="B21" t="s">
        <v>70</v>
      </c>
      <c r="C21" t="s">
        <v>71</v>
      </c>
      <c r="D21" t="s">
        <v>72</v>
      </c>
      <c r="E21" t="s">
        <v>74</v>
      </c>
      <c r="F21" t="s">
        <v>91</v>
      </c>
      <c r="K21" s="9" t="str">
        <f t="shared" si="2"/>
        <v>Products- Vinyl Acetate Monomer (VAM), Acetone, Nitric Acid, Polyamide, Mono Ethylene Glycol (MEG), , , and  are updated on real time Basis.</v>
      </c>
    </row>
    <row r="22" spans="1:11" x14ac:dyDescent="0.25">
      <c r="A22" s="12">
        <v>45446</v>
      </c>
      <c r="B22" t="s">
        <v>89</v>
      </c>
      <c r="C22" t="s">
        <v>80</v>
      </c>
      <c r="D22" t="s">
        <v>87</v>
      </c>
      <c r="K22" s="9" t="str">
        <f t="shared" si="2"/>
        <v>Products- Toluene Diisocyanate, Phenol, Soda Ash, , , , , and  are updated on real time Basis.</v>
      </c>
    </row>
    <row r="23" spans="1:11" x14ac:dyDescent="0.25">
      <c r="A23" s="12">
        <v>45447</v>
      </c>
      <c r="B23" t="s">
        <v>88</v>
      </c>
      <c r="C23" t="s">
        <v>94</v>
      </c>
      <c r="D23" t="s">
        <v>79</v>
      </c>
      <c r="E23" t="s">
        <v>92</v>
      </c>
      <c r="K23" s="9" t="str">
        <f t="shared" si="2"/>
        <v>Products- Mixed Xylene, Styrene Copolymer, Fluoroelastomer, Acrylic Acid, , , , and  are updated on real time Basis.</v>
      </c>
    </row>
    <row r="24" spans="1:11" x14ac:dyDescent="0.25">
      <c r="A24" s="12">
        <v>45448</v>
      </c>
      <c r="B24" t="s">
        <v>95</v>
      </c>
      <c r="K24" s="9" t="str">
        <f t="shared" si="2"/>
        <v>Products- Titanium Dioxide, , , , , , , and  are updated on real time Basis.</v>
      </c>
    </row>
    <row r="25" spans="1:11" x14ac:dyDescent="0.25">
      <c r="A25" s="12">
        <v>45449</v>
      </c>
      <c r="B25" t="s">
        <v>78</v>
      </c>
      <c r="C25" t="s">
        <v>84</v>
      </c>
      <c r="D25" t="s">
        <v>86</v>
      </c>
      <c r="E25" t="s">
        <v>73</v>
      </c>
      <c r="F25" t="s">
        <v>75</v>
      </c>
      <c r="G25" t="s">
        <v>82</v>
      </c>
      <c r="H25" t="s">
        <v>93</v>
      </c>
      <c r="K25" s="9" t="str">
        <f t="shared" si="2"/>
        <v>Products- Epoxy Resin, Bisphenol A, Sulphur, EPDM Rubber, Caustic Potash, Dimethyl Carbonate, Ethylene Vinyl Acetate (EVA), and  are updated on real time Basis.</v>
      </c>
    </row>
    <row r="26" spans="1:11" x14ac:dyDescent="0.25">
      <c r="A26" s="12">
        <v>45450</v>
      </c>
      <c r="B26" t="s">
        <v>96</v>
      </c>
      <c r="C26" t="s">
        <v>97</v>
      </c>
      <c r="D26" t="s">
        <v>98</v>
      </c>
      <c r="E26" t="s">
        <v>99</v>
      </c>
      <c r="K26" s="9" t="str">
        <f t="shared" si="2"/>
        <v>Products- C10 Solvent, Phosphorus Pentachloride, Iso Butyric Acid, C9 Solvent, , , , and  are updated on real time Basis.</v>
      </c>
    </row>
    <row r="27" spans="1:11" x14ac:dyDescent="0.25">
      <c r="A27" s="12">
        <v>45455</v>
      </c>
      <c r="B27" t="s">
        <v>100</v>
      </c>
      <c r="C27" t="s">
        <v>101</v>
      </c>
      <c r="D27" t="s">
        <v>102</v>
      </c>
      <c r="K27" s="9" t="str">
        <f t="shared" si="2"/>
        <v>Products- 2-Ethylhexyl Nitrate, Erucic Acid, Methyl Isobutyl Ketone (MIBK), , , , , and  are updated on real time Basis.</v>
      </c>
    </row>
    <row r="28" spans="1:11" x14ac:dyDescent="0.25">
      <c r="A28" s="12">
        <v>45456</v>
      </c>
      <c r="B28" t="s">
        <v>103</v>
      </c>
      <c r="C28" t="s">
        <v>104</v>
      </c>
      <c r="D28" t="s">
        <v>105</v>
      </c>
      <c r="K28" s="9" t="str">
        <f t="shared" si="2"/>
        <v>Products- Methylene Dichloride, Benzyl Chloride, Ethylene Carbonate (EC), , , , , and  are updated on real time Basis.</v>
      </c>
    </row>
    <row r="29" spans="1:11" x14ac:dyDescent="0.25">
      <c r="A29" s="12">
        <v>45457</v>
      </c>
      <c r="B29" t="s">
        <v>106</v>
      </c>
      <c r="C29" t="s">
        <v>107</v>
      </c>
      <c r="K29" s="9" t="str">
        <f t="shared" si="2"/>
        <v>Products- NitroBenzene, Sulphuric Acid, , , , , , and  are updated on real time Basis.</v>
      </c>
    </row>
    <row r="30" spans="1:11" x14ac:dyDescent="0.25">
      <c r="A30" s="12">
        <v>45460</v>
      </c>
      <c r="B30" t="s">
        <v>108</v>
      </c>
      <c r="C30" t="s">
        <v>109</v>
      </c>
      <c r="K30" s="9" t="str">
        <f t="shared" si="2"/>
        <v>Products- Aniline, Polyisobutylene, , , , , , and  are updated on real time Basis.</v>
      </c>
    </row>
    <row r="31" spans="1:11" x14ac:dyDescent="0.25">
      <c r="A31" s="12">
        <v>45461</v>
      </c>
      <c r="B31" s="19"/>
      <c r="K31" s="9" t="s">
        <v>110</v>
      </c>
    </row>
    <row r="32" spans="1:11" x14ac:dyDescent="0.25">
      <c r="A32" s="12">
        <v>45462</v>
      </c>
      <c r="B32" t="s">
        <v>111</v>
      </c>
      <c r="C32" t="s">
        <v>112</v>
      </c>
      <c r="K32" s="9" t="str">
        <f t="shared" si="2"/>
        <v>Products- Methionine, Neoprene Rubber, , , , , , and  are updated on real time Basis.</v>
      </c>
    </row>
    <row r="33" spans="1:11" x14ac:dyDescent="0.25">
      <c r="A33" s="12">
        <v>45463</v>
      </c>
      <c r="B33" t="s">
        <v>113</v>
      </c>
      <c r="K33" s="9" t="str">
        <f t="shared" si="2"/>
        <v>Products- Polyethylene Terephthalate (PET), , , , , , , and  are updated on real time Basis.</v>
      </c>
    </row>
    <row r="34" spans="1:11" x14ac:dyDescent="0.25">
      <c r="A34" s="12">
        <v>45464</v>
      </c>
      <c r="B34" t="s">
        <v>114</v>
      </c>
      <c r="C34" t="s">
        <v>115</v>
      </c>
      <c r="K34" s="9" t="str">
        <f t="shared" si="2"/>
        <v>Products- Lysine Hydrochloride, Natural Rubber (TSR), , , , , , and  are updated on real time Basis.</v>
      </c>
    </row>
    <row r="35" spans="1:11" x14ac:dyDescent="0.25">
      <c r="A35" s="12">
        <v>45467</v>
      </c>
      <c r="B35" t="s">
        <v>116</v>
      </c>
      <c r="K35" s="9" t="str">
        <f t="shared" si="2"/>
        <v>Products- 2-Ethylhexanol, , , , , , , and  are updated on real time Basis.</v>
      </c>
    </row>
    <row r="36" spans="1:11" x14ac:dyDescent="0.25">
      <c r="A36" s="12">
        <v>45468</v>
      </c>
      <c r="B36" t="s">
        <v>117</v>
      </c>
      <c r="K36" s="9" t="str">
        <f t="shared" si="2"/>
        <v>Products- Benzoic Acid, , , , , , , and  are updated on real time Basis.</v>
      </c>
    </row>
    <row r="37" spans="1:11" x14ac:dyDescent="0.25">
      <c r="A37" s="12">
        <v>45469</v>
      </c>
      <c r="B37" t="s">
        <v>70</v>
      </c>
      <c r="C37" t="s">
        <v>118</v>
      </c>
      <c r="K37" s="9" t="str">
        <f t="shared" si="2"/>
        <v>Products- Vinyl Acetate Monomer (VAM), Benzaldehyde, , , , , , and  are updated on real time Basis.</v>
      </c>
    </row>
    <row r="38" spans="1:11" x14ac:dyDescent="0.25">
      <c r="A38" s="12">
        <v>45470</v>
      </c>
      <c r="B38" s="19"/>
      <c r="K38" s="9" t="s">
        <v>119</v>
      </c>
    </row>
    <row r="39" spans="1:11" x14ac:dyDescent="0.25">
      <c r="A39" s="12">
        <v>45471</v>
      </c>
      <c r="B39" t="s">
        <v>95</v>
      </c>
      <c r="K39" s="9" t="str">
        <f t="shared" si="2"/>
        <v>Products- Titanium Dioxide, , , , , , , and  are updated on real time Basis.</v>
      </c>
    </row>
    <row r="40" spans="1:11" x14ac:dyDescent="0.25">
      <c r="A40" s="12">
        <v>45474</v>
      </c>
      <c r="B40" t="s">
        <v>120</v>
      </c>
      <c r="K40" s="9" t="str">
        <f t="shared" si="2"/>
        <v>Products- Ammonia, , , , , , , and  are updated on real time Basis.</v>
      </c>
    </row>
    <row r="41" spans="1:11" x14ac:dyDescent="0.25">
      <c r="A41" s="12">
        <v>45475</v>
      </c>
      <c r="B41" t="s">
        <v>80</v>
      </c>
      <c r="C41" t="s">
        <v>121</v>
      </c>
      <c r="K41" s="9" t="str">
        <f t="shared" si="2"/>
        <v>Products- Phenol, Toluene Diisocyanate (TDI), , , , , , and  are updated on real time Basis.</v>
      </c>
    </row>
    <row r="42" spans="1:11" x14ac:dyDescent="0.25">
      <c r="A42" s="12">
        <v>45476</v>
      </c>
      <c r="B42" s="19"/>
      <c r="K42" t="s">
        <v>122</v>
      </c>
    </row>
    <row r="43" spans="1:11" x14ac:dyDescent="0.25">
      <c r="A43" s="12">
        <v>45477</v>
      </c>
      <c r="B43" t="s">
        <v>123</v>
      </c>
      <c r="K43" s="9" t="str">
        <f t="shared" si="2"/>
        <v>Products- Acetic Acid, , , , , , , and  are updated on real time Basis.</v>
      </c>
    </row>
    <row r="44" spans="1:11" x14ac:dyDescent="0.25">
      <c r="A44" s="12">
        <v>45478</v>
      </c>
      <c r="B44" t="s">
        <v>91</v>
      </c>
      <c r="K44" s="9" t="str">
        <f t="shared" si="2"/>
        <v>Products- Mono Ethylene Glycol (MEG), , , , , , , and  are updated on real time Basis.</v>
      </c>
    </row>
    <row r="45" spans="1:11" x14ac:dyDescent="0.25">
      <c r="A45" s="12">
        <v>45481</v>
      </c>
      <c r="B45" s="18" t="s">
        <v>125</v>
      </c>
      <c r="K45" s="9" t="str">
        <f t="shared" si="2"/>
        <v>Products- on leave, , , , , , , and  are updated on real time Basis.</v>
      </c>
    </row>
    <row r="46" spans="1:11" x14ac:dyDescent="0.25">
      <c r="A46" s="12">
        <v>45482</v>
      </c>
      <c r="B46" t="s">
        <v>71</v>
      </c>
      <c r="C46" t="s">
        <v>72</v>
      </c>
      <c r="K46" s="9" t="str">
        <f t="shared" si="2"/>
        <v>Products- Acetone, Nitric Acid, , , , , , and  are updated on real time Basis.</v>
      </c>
    </row>
    <row r="47" spans="1:11" x14ac:dyDescent="0.25">
      <c r="A47" s="12">
        <v>45483</v>
      </c>
      <c r="B47" t="s">
        <v>74</v>
      </c>
      <c r="K47" s="9" t="str">
        <f t="shared" si="2"/>
        <v>Products- Polyamide, , , , , , , and  are updated on real time Basis.</v>
      </c>
    </row>
    <row r="48" spans="1:11" x14ac:dyDescent="0.25">
      <c r="A48" s="12">
        <v>45484</v>
      </c>
      <c r="B48" t="s">
        <v>129</v>
      </c>
      <c r="K48" s="9" t="str">
        <f t="shared" si="2"/>
        <v>Products- Soda Ash, , , , , , , and  are updated on real time Basis.</v>
      </c>
    </row>
    <row r="49" spans="1:11" x14ac:dyDescent="0.25">
      <c r="A49" s="12">
        <v>45485</v>
      </c>
      <c r="B49" t="s">
        <v>88</v>
      </c>
      <c r="C49" t="s">
        <v>94</v>
      </c>
      <c r="K49" s="9" t="str">
        <f t="shared" si="2"/>
        <v>Products- Mixed Xylene, Styrene Copolymer, , , , , , and  are updated on real time Basis.</v>
      </c>
    </row>
    <row r="50" spans="1:11" x14ac:dyDescent="0.25">
      <c r="A50" s="12">
        <v>45488</v>
      </c>
      <c r="B50" t="s">
        <v>57</v>
      </c>
      <c r="K50" s="9" t="str">
        <f t="shared" si="2"/>
        <v>Products- Sodium Sulphate, , , , , , , and  are updated on real time Basis.</v>
      </c>
    </row>
    <row r="51" spans="1:11" x14ac:dyDescent="0.25">
      <c r="A51" s="12">
        <v>45489</v>
      </c>
      <c r="B51" t="s">
        <v>92</v>
      </c>
      <c r="C51" t="s">
        <v>79</v>
      </c>
      <c r="K51" s="9" t="str">
        <f t="shared" si="2"/>
        <v>Products- Acrylic Acid, Fluoroelastomer, , , , , , and  are updated on real time Basis.</v>
      </c>
    </row>
    <row r="52" spans="1:11" x14ac:dyDescent="0.25">
      <c r="A52" s="12">
        <v>45490</v>
      </c>
      <c r="B52" t="s">
        <v>84</v>
      </c>
      <c r="C52" t="s">
        <v>75</v>
      </c>
      <c r="D52" t="s">
        <v>82</v>
      </c>
      <c r="K52" s="9" t="str">
        <f t="shared" si="2"/>
        <v>Products- Bisphenol A, Caustic Potash, Dimethyl Carbonate, , , , , and  are updated on real time Basis.</v>
      </c>
    </row>
    <row r="53" spans="1:11" x14ac:dyDescent="0.25">
      <c r="A53" s="12">
        <v>45491</v>
      </c>
      <c r="B53" t="s">
        <v>83</v>
      </c>
      <c r="C53" t="s">
        <v>86</v>
      </c>
      <c r="K53" s="9" t="str">
        <f t="shared" si="2"/>
        <v>Products- Liquid Chlorine, Sulphur, , , , , , and  are updated on real time Basis.</v>
      </c>
    </row>
    <row r="54" spans="1:11" x14ac:dyDescent="0.25">
      <c r="A54" s="12">
        <v>45492</v>
      </c>
      <c r="B54" t="s">
        <v>93</v>
      </c>
      <c r="K54" s="9" t="str">
        <f t="shared" si="2"/>
        <v>Products- Ethylene Vinyl Acetate (EVA), , , , , , , and  are updated on real time Basis.</v>
      </c>
    </row>
    <row r="55" spans="1:11" x14ac:dyDescent="0.25">
      <c r="A55" s="12">
        <v>45495</v>
      </c>
      <c r="B55" s="19"/>
      <c r="K55" t="s">
        <v>142</v>
      </c>
    </row>
    <row r="56" spans="1:11" x14ac:dyDescent="0.25">
      <c r="A56" s="12">
        <v>45496</v>
      </c>
      <c r="B56" t="s">
        <v>78</v>
      </c>
      <c r="K56" s="9" t="str">
        <f t="shared" si="2"/>
        <v>Products- Epoxy Resin, , , , , , , and  are updated on real time Basis.</v>
      </c>
    </row>
    <row r="57" spans="1:11" x14ac:dyDescent="0.25">
      <c r="A57" s="12">
        <v>45497</v>
      </c>
      <c r="B57" s="19"/>
      <c r="K57" t="s">
        <v>144</v>
      </c>
    </row>
    <row r="58" spans="1:11" x14ac:dyDescent="0.25">
      <c r="A58" s="12">
        <v>45498</v>
      </c>
      <c r="B58" t="s">
        <v>73</v>
      </c>
      <c r="K58" s="9" t="str">
        <f t="shared" si="2"/>
        <v>Products- EPDM Rubber, , , , , , , and  are updated on real time Basis.</v>
      </c>
    </row>
    <row r="59" spans="1:11" x14ac:dyDescent="0.25">
      <c r="A59" s="12">
        <v>45499</v>
      </c>
      <c r="B59" t="s">
        <v>96</v>
      </c>
      <c r="C59" t="s">
        <v>99</v>
      </c>
      <c r="D59" t="s">
        <v>98</v>
      </c>
      <c r="E59" t="s">
        <v>97</v>
      </c>
      <c r="F59" t="s">
        <v>100</v>
      </c>
      <c r="G59" t="s">
        <v>101</v>
      </c>
      <c r="H59" t="s">
        <v>102</v>
      </c>
      <c r="K59" s="9" t="str">
        <f t="shared" si="2"/>
        <v>Products- C10 Solvent, C9 Solvent, Iso Butyric Acid, Phosphorus Pentachloride, 2-Ethylhexyl Nitrate, Erucic Acid, Methyl Isobutyl Ketone (MIBK), and  are updated on real time Basis.</v>
      </c>
    </row>
    <row r="60" spans="1:11" x14ac:dyDescent="0.25">
      <c r="A60" s="12">
        <v>45502</v>
      </c>
      <c r="B60" t="s">
        <v>104</v>
      </c>
      <c r="C60" t="s">
        <v>103</v>
      </c>
      <c r="D60" t="s">
        <v>107</v>
      </c>
      <c r="E60" t="s">
        <v>153</v>
      </c>
      <c r="K60" s="9" t="str">
        <f t="shared" si="2"/>
        <v>Products- Benzyl Chloride, Methylene Dichloride, Sulphuric Acid, Linear Alkylbenzene Sulfonic Acid, , , , and  are updated on real time Basis.</v>
      </c>
    </row>
    <row r="61" spans="1:11" x14ac:dyDescent="0.25">
      <c r="A61" s="12">
        <v>45503</v>
      </c>
      <c r="B61" t="s">
        <v>105</v>
      </c>
      <c r="C61" t="s">
        <v>158</v>
      </c>
      <c r="K61" s="9" t="str">
        <f t="shared" si="2"/>
        <v>Products- Ethylene Carbonate (EC), Linear Alkyl Benzene (LAB), , , , , , and  are updated on real time Basis.</v>
      </c>
    </row>
    <row r="62" spans="1:11" x14ac:dyDescent="0.25">
      <c r="A62" s="12">
        <v>45504</v>
      </c>
      <c r="B62" t="s">
        <v>153</v>
      </c>
      <c r="C62" t="s">
        <v>106</v>
      </c>
      <c r="K62" s="9" t="str">
        <f t="shared" si="2"/>
        <v>Products- Linear Alkylbenzene Sulfonic Acid, NitroBenzene, , , , , , and  are updated on real time Basis.</v>
      </c>
    </row>
    <row r="63" spans="1:11" x14ac:dyDescent="0.25">
      <c r="A63" s="12">
        <v>45505</v>
      </c>
      <c r="B63" t="s">
        <v>162</v>
      </c>
      <c r="K63" s="9" t="str">
        <f t="shared" si="2"/>
        <v>Products- Sodium Lauryl Ether Sulphate (SLES), , , , , , , and  are updated on real time Basis.</v>
      </c>
    </row>
    <row r="64" spans="1:11" x14ac:dyDescent="0.25">
      <c r="A64" s="12">
        <v>45506</v>
      </c>
      <c r="B64" s="19"/>
      <c r="K64" t="s">
        <v>165</v>
      </c>
    </row>
    <row r="65" spans="1:11" x14ac:dyDescent="0.25">
      <c r="A65" s="12">
        <v>45509</v>
      </c>
      <c r="B65" t="s">
        <v>164</v>
      </c>
      <c r="K65" s="9" t="str">
        <f>"Products- "&amp;B65&amp;", "&amp;C65&amp;", "&amp;D65&amp;", "&amp;E65&amp;", "&amp;F65&amp;", "&amp;G65&amp;", "&amp;H65&amp;", and "&amp;I65&amp;" are updated on real time Basis."</f>
        <v>Products- Phosphoric Acid, , , , , , , and  are updated on real time Basis.</v>
      </c>
    </row>
    <row r="66" spans="1:11" x14ac:dyDescent="0.25">
      <c r="A66" s="12">
        <v>45510</v>
      </c>
      <c r="B66" s="19"/>
      <c r="C66" s="20" t="s">
        <v>168</v>
      </c>
      <c r="K66" t="s">
        <v>167</v>
      </c>
    </row>
    <row r="67" spans="1:11" x14ac:dyDescent="0.25">
      <c r="A67" s="12">
        <v>45511</v>
      </c>
      <c r="B67" s="19"/>
      <c r="C67" s="20" t="s">
        <v>168</v>
      </c>
      <c r="K67" t="s">
        <v>169</v>
      </c>
    </row>
    <row r="68" spans="1:11" x14ac:dyDescent="0.25">
      <c r="A68" s="12">
        <v>45512</v>
      </c>
      <c r="B68" t="s">
        <v>170</v>
      </c>
      <c r="K68" s="9" t="str">
        <f>"Products- "&amp;B68&amp;", "&amp;C68&amp;", "&amp;D68&amp;", "&amp;E68&amp;", "&amp;F68&amp;", "&amp;G68&amp;", "&amp;H68&amp;", and "&amp;I68&amp;" are updated on real time Basis."</f>
        <v>Products- Caustic Soda, , , , , , , and  are updated on real time Basis.</v>
      </c>
    </row>
    <row r="69" spans="1:11" x14ac:dyDescent="0.25">
      <c r="A69" s="12">
        <v>45513</v>
      </c>
      <c r="B69" t="s">
        <v>172</v>
      </c>
      <c r="K69" s="9" t="str">
        <f>"Products- "&amp;B69&amp;", "&amp;C69&amp;", "&amp;D69&amp;", "&amp;E69&amp;", "&amp;F69&amp;", "&amp;G69&amp;", "&amp;H69&amp;", and "&amp;I69&amp;" are updated on real time Basis."</f>
        <v>Products- Calcium Carbonate, , , , , , , and  are updated on real time Basis.</v>
      </c>
    </row>
    <row r="70" spans="1:11" x14ac:dyDescent="0.25">
      <c r="A70" s="12">
        <v>45516</v>
      </c>
      <c r="B70" t="s">
        <v>57</v>
      </c>
      <c r="C70" t="s">
        <v>108</v>
      </c>
      <c r="D70" t="s">
        <v>109</v>
      </c>
      <c r="K70" s="9" t="str">
        <f>"Products- "&amp;B70&amp;", "&amp;C70&amp;", "&amp;D70&amp;", "&amp;E70&amp;", "&amp;F70&amp;", "&amp;G70&amp;", "&amp;H70&amp;", and "&amp;I70&amp;" are updated on real time Basis."</f>
        <v>Products- Sodium Sulphate, Aniline, Polyisobutylene, , , , , and  are updated on real time Basis.</v>
      </c>
    </row>
    <row r="71" spans="1:11" x14ac:dyDescent="0.25">
      <c r="A71" s="12">
        <v>45517</v>
      </c>
      <c r="B71" t="s">
        <v>111</v>
      </c>
      <c r="C71" t="s">
        <v>112</v>
      </c>
      <c r="K71" s="9" t="str">
        <f>"Products- "&amp;B71&amp;", "&amp;C71&amp;", "&amp;D71&amp;", "&amp;E71&amp;", "&amp;F71&amp;", "&amp;G71&amp;", "&amp;H71&amp;", and "&amp;I71&amp;" are updated on real time Basis."</f>
        <v>Products- Methionine, Neoprene Rubber, , , , , , and  are updated on real time Basis.</v>
      </c>
    </row>
    <row r="72" spans="1:11" x14ac:dyDescent="0.25">
      <c r="A72" s="12">
        <v>45518</v>
      </c>
      <c r="B72" t="s">
        <v>113</v>
      </c>
      <c r="K72" s="9" t="str">
        <f>"Products- "&amp;B72&amp;", "&amp;C72&amp;", "&amp;D72&amp;", "&amp;E72&amp;", "&amp;F72&amp;", "&amp;G72&amp;", "&amp;H72&amp;", and "&amp;I72&amp;" are updated on real time Basis."</f>
        <v>Products- Polyethylene Terephthalate (PET), , , , , , , and  are updated on real time Basis.</v>
      </c>
    </row>
    <row r="73" spans="1:11" x14ac:dyDescent="0.25">
      <c r="A73" s="12">
        <v>45519</v>
      </c>
      <c r="B73" s="22" t="s">
        <v>174</v>
      </c>
      <c r="C73" s="22" t="s">
        <v>174</v>
      </c>
      <c r="D73" s="22" t="s">
        <v>174</v>
      </c>
      <c r="K73" s="9"/>
    </row>
    <row r="74" spans="1:11" x14ac:dyDescent="0.25">
      <c r="A74" s="12">
        <v>45520</v>
      </c>
      <c r="B74" t="s">
        <v>114</v>
      </c>
      <c r="C74" t="s">
        <v>115</v>
      </c>
      <c r="D74" t="s">
        <v>116</v>
      </c>
      <c r="K74" s="9" t="str">
        <f t="shared" ref="K74:K94" si="3">"Products- "&amp;B74&amp;", "&amp;C74&amp;", "&amp;D74&amp;", "&amp;E74&amp;", "&amp;F74&amp;", "&amp;G74&amp;", "&amp;H74&amp;", and "&amp;I74&amp;" are updated on real time Basis."</f>
        <v>Products- Lysine Hydrochloride, Natural Rubber (TSR), 2-Ethylhexanol, , , , , and  are updated on real time Basis.</v>
      </c>
    </row>
    <row r="75" spans="1:11" x14ac:dyDescent="0.25">
      <c r="A75" s="12">
        <v>45523</v>
      </c>
      <c r="B75" s="22" t="s">
        <v>183</v>
      </c>
      <c r="C75" s="22" t="s">
        <v>183</v>
      </c>
      <c r="D75" s="22" t="s">
        <v>183</v>
      </c>
    </row>
    <row r="76" spans="1:11" x14ac:dyDescent="0.25">
      <c r="A76" s="12">
        <v>45524</v>
      </c>
      <c r="B76" t="s">
        <v>117</v>
      </c>
      <c r="C76" t="s">
        <v>118</v>
      </c>
      <c r="K76" s="9" t="str">
        <f t="shared" si="3"/>
        <v>Products- Benzoic Acid, Benzaldehyde, , , , , , and  are updated on real time Basis.</v>
      </c>
    </row>
    <row r="77" spans="1:11" x14ac:dyDescent="0.25">
      <c r="A77" s="12">
        <v>45525</v>
      </c>
      <c r="B77" t="s">
        <v>70</v>
      </c>
      <c r="C77" t="s">
        <v>121</v>
      </c>
      <c r="K77" s="9" t="str">
        <f t="shared" si="3"/>
        <v>Products- Vinyl Acetate Monomer (VAM), Toluene Diisocyanate (TDI), , , , , , and  are updated on real time Basis.</v>
      </c>
    </row>
    <row r="78" spans="1:11" x14ac:dyDescent="0.25">
      <c r="A78" s="12">
        <v>45526</v>
      </c>
      <c r="B78" s="19"/>
      <c r="C78" s="19"/>
      <c r="D78" s="19"/>
      <c r="K78" t="s">
        <v>119</v>
      </c>
    </row>
    <row r="79" spans="1:11" x14ac:dyDescent="0.25">
      <c r="A79" s="12">
        <v>45527</v>
      </c>
      <c r="B79" t="s">
        <v>95</v>
      </c>
      <c r="K79" s="9" t="str">
        <f t="shared" si="3"/>
        <v>Products- Titanium Dioxide, , , , , , , and  are updated on real time Basis.</v>
      </c>
    </row>
    <row r="80" spans="1:11" x14ac:dyDescent="0.25">
      <c r="A80" s="12">
        <v>45530</v>
      </c>
      <c r="B80" t="s">
        <v>120</v>
      </c>
      <c r="C80" t="s">
        <v>80</v>
      </c>
      <c r="K80" s="9" t="str">
        <f t="shared" si="3"/>
        <v>Products- Ammonia, Phenol, , , , , , and  are updated on real time Basis.</v>
      </c>
    </row>
    <row r="81" spans="1:11" x14ac:dyDescent="0.25">
      <c r="A81" s="12">
        <v>45531</v>
      </c>
      <c r="B81" t="s">
        <v>123</v>
      </c>
      <c r="K81" s="9" t="str">
        <f t="shared" si="3"/>
        <v>Products- Acetic Acid, , , , , , , and  are updated on real time Basis.</v>
      </c>
    </row>
    <row r="82" spans="1:11" x14ac:dyDescent="0.25">
      <c r="A82" s="12">
        <v>45532</v>
      </c>
      <c r="B82" t="s">
        <v>72</v>
      </c>
      <c r="C82" t="s">
        <v>192</v>
      </c>
      <c r="K82" s="9" t="str">
        <f t="shared" si="3"/>
        <v>Products- Nitric Acid, Propylene Oxide, , , , , , and  are updated on real time Basis.</v>
      </c>
    </row>
    <row r="83" spans="1:11" x14ac:dyDescent="0.25">
      <c r="A83" s="12">
        <v>45533</v>
      </c>
      <c r="B83" s="19" t="s">
        <v>195</v>
      </c>
      <c r="C83" s="19"/>
      <c r="D83" s="19"/>
      <c r="K83" t="s">
        <v>194</v>
      </c>
    </row>
    <row r="84" spans="1:11" x14ac:dyDescent="0.25">
      <c r="A84" s="12">
        <v>45534</v>
      </c>
      <c r="B84" t="s">
        <v>195</v>
      </c>
      <c r="K84" s="9" t="str">
        <f t="shared" si="3"/>
        <v>Products- Polyol, , , , , , , and  are updated on real time Basis.</v>
      </c>
    </row>
    <row r="85" spans="1:11" x14ac:dyDescent="0.25">
      <c r="A85" s="12">
        <v>45537</v>
      </c>
      <c r="B85" t="s">
        <v>197</v>
      </c>
      <c r="C85" t="s">
        <v>198</v>
      </c>
      <c r="D85" t="s">
        <v>199</v>
      </c>
      <c r="K85" s="9" t="str">
        <f t="shared" si="3"/>
        <v>Products- Styrene, Raffinate, Tall Oil Rosin, , , , , and  are updated on real time Basis.</v>
      </c>
    </row>
    <row r="86" spans="1:11" x14ac:dyDescent="0.25">
      <c r="A86" s="12">
        <v>45538</v>
      </c>
      <c r="B86" t="s">
        <v>203</v>
      </c>
      <c r="C86" t="s">
        <v>204</v>
      </c>
      <c r="D86" t="s">
        <v>205</v>
      </c>
      <c r="K86" s="9" t="str">
        <f t="shared" si="3"/>
        <v>Products- Methacrylic Acid, Potassium Benzoate, Glyoxylic Acid, , , , , and  are updated on real time Basis.</v>
      </c>
    </row>
    <row r="87" spans="1:11" x14ac:dyDescent="0.25">
      <c r="A87" s="12">
        <v>45539</v>
      </c>
      <c r="B87" t="s">
        <v>91</v>
      </c>
      <c r="C87" t="s">
        <v>71</v>
      </c>
      <c r="D87" t="s">
        <v>74</v>
      </c>
      <c r="K87" s="9" t="str">
        <f t="shared" si="3"/>
        <v>Products- Mono Ethylene Glycol (MEG), Acetone, Polyamide, , , , , and  are updated on real time Basis.</v>
      </c>
    </row>
    <row r="88" spans="1:11" x14ac:dyDescent="0.25">
      <c r="A88" s="12">
        <v>45540</v>
      </c>
      <c r="B88" t="s">
        <v>71</v>
      </c>
      <c r="C88" t="s">
        <v>87</v>
      </c>
      <c r="D88" t="s">
        <v>88</v>
      </c>
      <c r="E88" t="s">
        <v>94</v>
      </c>
      <c r="F88" t="s">
        <v>92</v>
      </c>
      <c r="K88" s="9" t="str">
        <f t="shared" si="3"/>
        <v>Products- Acetone, Soda Ash, Mixed Xylene, Styrene Copolymer, Acrylic Acid, , , and  are updated on real time Basis.</v>
      </c>
    </row>
    <row r="89" spans="1:11" x14ac:dyDescent="0.25">
      <c r="A89" s="12">
        <v>45541</v>
      </c>
      <c r="B89" t="s">
        <v>79</v>
      </c>
      <c r="C89" t="s">
        <v>84</v>
      </c>
      <c r="D89" t="s">
        <v>75</v>
      </c>
      <c r="E89" t="s">
        <v>82</v>
      </c>
      <c r="F89" t="s">
        <v>83</v>
      </c>
      <c r="K89" s="9" t="str">
        <f t="shared" si="3"/>
        <v>Products- Fluoroelastomer, Bisphenol A, Caustic Potash, Dimethyl Carbonate, Liquid Chlorine, , , and  are updated on real time Basis.</v>
      </c>
    </row>
    <row r="90" spans="1:11" x14ac:dyDescent="0.25">
      <c r="A90" s="12">
        <v>45544</v>
      </c>
      <c r="B90" t="s">
        <v>86</v>
      </c>
      <c r="C90" t="s">
        <v>73</v>
      </c>
      <c r="D90" t="s">
        <v>93</v>
      </c>
      <c r="K90" s="9" t="str">
        <f t="shared" si="3"/>
        <v>Products- Sulphur, EPDM Rubber, Ethylene Vinyl Acetate (EVA), , , , , and  are updated on real time Basis.</v>
      </c>
    </row>
    <row r="91" spans="1:11" x14ac:dyDescent="0.25">
      <c r="A91" s="12">
        <v>45545</v>
      </c>
      <c r="B91" t="s">
        <v>78</v>
      </c>
      <c r="C91" t="s">
        <v>96</v>
      </c>
      <c r="D91" t="s">
        <v>99</v>
      </c>
      <c r="E91" t="s">
        <v>98</v>
      </c>
      <c r="F91" t="s">
        <v>100</v>
      </c>
      <c r="G91" t="s">
        <v>101</v>
      </c>
      <c r="H91" t="s">
        <v>102</v>
      </c>
      <c r="I91" t="s">
        <v>103</v>
      </c>
      <c r="J91" t="s">
        <v>104</v>
      </c>
      <c r="K91" s="9" t="s">
        <v>106</v>
      </c>
    </row>
    <row r="92" spans="1:11" x14ac:dyDescent="0.25">
      <c r="A92" s="12">
        <v>45546</v>
      </c>
      <c r="B92" t="s">
        <v>162</v>
      </c>
      <c r="C92" t="s">
        <v>164</v>
      </c>
      <c r="D92" t="s">
        <v>107</v>
      </c>
      <c r="E92" t="s">
        <v>105</v>
      </c>
      <c r="F92" t="s">
        <v>170</v>
      </c>
      <c r="G92" t="s">
        <v>158</v>
      </c>
      <c r="H92" t="s">
        <v>153</v>
      </c>
      <c r="K92" s="9" t="str">
        <f t="shared" si="3"/>
        <v>Products- Sodium Lauryl Ether Sulphate (SLES), Phosphoric Acid, Sulphuric Acid, Ethylene Carbonate (EC), Caustic Soda, Linear Alkyl Benzene (LAB), Linear Alkylbenzene Sulfonic Acid, and  are updated on real time Basis.</v>
      </c>
    </row>
    <row r="93" spans="1:11" x14ac:dyDescent="0.25">
      <c r="A93" s="12">
        <v>45547</v>
      </c>
      <c r="B93" t="s">
        <v>172</v>
      </c>
      <c r="C93" t="s">
        <v>112</v>
      </c>
      <c r="D93" t="s">
        <v>57</v>
      </c>
    </row>
    <row r="94" spans="1:11" x14ac:dyDescent="0.25">
      <c r="A94" s="12">
        <v>45548</v>
      </c>
      <c r="B94" t="s">
        <v>211</v>
      </c>
      <c r="C94" t="s">
        <v>212</v>
      </c>
      <c r="D94" t="s">
        <v>213</v>
      </c>
      <c r="E94" t="s">
        <v>214</v>
      </c>
      <c r="F94" t="s">
        <v>215</v>
      </c>
      <c r="G94" t="s">
        <v>216</v>
      </c>
      <c r="H94" t="s">
        <v>217</v>
      </c>
      <c r="I94" t="s">
        <v>218</v>
      </c>
      <c r="K94" s="9" t="str">
        <f t="shared" si="3"/>
        <v>Products- Polytetramethylene Ether Glycol (PTMEG), Dinitrochlorobenzene (DNCB), n-Butylene, Diamino Sulfanilide, Tallow Oil, Metakaolin, Dipropylene Glycol Monomethyl Ether, and Sorbitan Monostearate are updated on real time Basis.</v>
      </c>
    </row>
    <row r="95" spans="1:11" x14ac:dyDescent="0.25">
      <c r="A95" s="12">
        <v>45551</v>
      </c>
      <c r="B95" s="19" t="s">
        <v>227</v>
      </c>
      <c r="C95" s="19"/>
      <c r="D95" s="19"/>
      <c r="K95" t="s">
        <v>228</v>
      </c>
    </row>
    <row r="96" spans="1:11" x14ac:dyDescent="0.25">
      <c r="A96" s="12">
        <v>45552</v>
      </c>
      <c r="B96" s="19" t="s">
        <v>227</v>
      </c>
      <c r="C96" s="19"/>
      <c r="D96" s="19"/>
      <c r="K96" t="str">
        <f t="shared" ref="K96:K97" si="4">"Working on Product ' Global "&amp;B96&amp;" Port Wise Export Data ' for Updating on real time Basis."</f>
        <v>Working on Product ' Global Stearic Acid Port Wise Export Data ' for Updating on real time Basis.</v>
      </c>
    </row>
    <row r="97" spans="1:11" x14ac:dyDescent="0.25">
      <c r="A97" s="12">
        <v>45553</v>
      </c>
      <c r="B97" s="19" t="s">
        <v>227</v>
      </c>
      <c r="C97" s="19"/>
      <c r="D97" s="19"/>
      <c r="K97" t="str">
        <f t="shared" si="4"/>
        <v>Working on Product ' Global Stearic Acid Port Wise Export Data ' for Updating on real time Basis.</v>
      </c>
    </row>
    <row r="98" spans="1:11" x14ac:dyDescent="0.25">
      <c r="A98" s="12">
        <v>45554</v>
      </c>
      <c r="B98" t="s">
        <v>227</v>
      </c>
      <c r="C98" t="s">
        <v>229</v>
      </c>
      <c r="D98" t="s">
        <v>230</v>
      </c>
      <c r="E98" t="s">
        <v>231</v>
      </c>
      <c r="K98" s="9" t="str">
        <f t="shared" ref="K98:K103" si="5">"Products- "&amp;B98&amp;", "&amp;C98&amp;", "&amp;D98&amp;", "&amp;E98&amp;", "&amp;F98&amp;", "&amp;G98&amp;", "&amp;H98&amp;", and "&amp;I98&amp;" are updated on real time Basis."</f>
        <v>Products- Stearic Acid, Cyclopentane, Taurine, Sodium Tetraborate, , , , and  are updated on real time Basis.</v>
      </c>
    </row>
    <row r="99" spans="1:11" x14ac:dyDescent="0.25">
      <c r="A99" s="12">
        <v>45555</v>
      </c>
      <c r="B99" s="24" t="s">
        <v>236</v>
      </c>
      <c r="C99" s="24" t="s">
        <v>237</v>
      </c>
      <c r="D99" t="s">
        <v>238</v>
      </c>
      <c r="E99" t="s">
        <v>239</v>
      </c>
      <c r="K99" s="9" t="str">
        <f t="shared" si="5"/>
        <v>Products- Epichlorohydrin, Yellow Phosphorous, Natural Steatite, Tryptophan, , , , and  are updated on real time Basis.</v>
      </c>
    </row>
    <row r="100" spans="1:11" x14ac:dyDescent="0.25">
      <c r="A100" s="12">
        <v>45558</v>
      </c>
      <c r="B100" s="24" t="s">
        <v>244</v>
      </c>
      <c r="C100" t="s">
        <v>245</v>
      </c>
      <c r="D100" t="s">
        <v>246</v>
      </c>
      <c r="K100" s="9" t="str">
        <f t="shared" si="5"/>
        <v>Products- Methyl Ethyl Ketone (MEK), Tartaric Acid, Amlodipine Besylate, , , , , and  are updated on real time Basis.</v>
      </c>
    </row>
    <row r="101" spans="1:11" x14ac:dyDescent="0.25">
      <c r="A101" s="12">
        <v>45559</v>
      </c>
      <c r="B101" s="24" t="s">
        <v>250</v>
      </c>
      <c r="C101" t="s">
        <v>251</v>
      </c>
      <c r="D101" t="s">
        <v>252</v>
      </c>
      <c r="E101" t="s">
        <v>253</v>
      </c>
      <c r="K101" s="9" t="str">
        <f t="shared" si="5"/>
        <v>Products- Hydrochloric Acid, Isobutylene, Sodium Hypochlorite, Triethanolamine, , , , and  are updated on real time Basis.</v>
      </c>
    </row>
    <row r="102" spans="1:11" x14ac:dyDescent="0.25">
      <c r="A102" s="12">
        <v>45560</v>
      </c>
      <c r="B102" s="19" t="s">
        <v>258</v>
      </c>
      <c r="C102" s="19"/>
      <c r="D102" s="19"/>
      <c r="K102" t="str">
        <f>"Working on Product ' Global "&amp;B102&amp;" Port Wise Export Data ' for Updating on real time Basis."</f>
        <v>Working on Product ' Global Carbon Black Port Wise Export Data ' for Updating on real time Basis.</v>
      </c>
    </row>
    <row r="103" spans="1:11" x14ac:dyDescent="0.25">
      <c r="A103" s="12">
        <v>45561</v>
      </c>
      <c r="B103" t="s">
        <v>258</v>
      </c>
      <c r="K103" s="9" t="str">
        <f t="shared" si="5"/>
        <v>Products- Carbon Black, , , , , , , and  are updated on real time Basis.</v>
      </c>
    </row>
    <row r="104" spans="1:11" x14ac:dyDescent="0.25">
      <c r="A104" s="12">
        <v>45562</v>
      </c>
      <c r="B104" s="19" t="s">
        <v>260</v>
      </c>
      <c r="C104" s="19"/>
      <c r="D104" s="19"/>
      <c r="K104" t="str">
        <f>"Working on Product ' Global "&amp;B104&amp;" Port Wise Export Data ' for Updating on real time Basis."</f>
        <v>Working on Product ' Global Glycerine Port Wise Export Data ' for Updating on real time Basis.</v>
      </c>
    </row>
    <row r="105" spans="1:11" x14ac:dyDescent="0.25">
      <c r="A105" s="12">
        <v>45565</v>
      </c>
      <c r="B105" s="19" t="s">
        <v>260</v>
      </c>
      <c r="C105" s="19"/>
      <c r="D105" s="19"/>
      <c r="K105" t="str">
        <f>"Working on Product ' Global "&amp;B105&amp;" Port Wise Export Data ' for Updating on real time Basis."</f>
        <v>Working on Product ' Global Glycerine Port Wise Export Data ' for Updating on real time Basis.</v>
      </c>
    </row>
    <row r="106" spans="1:11" x14ac:dyDescent="0.25">
      <c r="A106" s="12">
        <v>45566</v>
      </c>
      <c r="B106" t="s">
        <v>260</v>
      </c>
      <c r="K106" s="9" t="str">
        <f t="shared" ref="K106" si="6">"Products- "&amp;B106&amp;", "&amp;C106&amp;", "&amp;D106&amp;", "&amp;E106&amp;", "&amp;F106&amp;", "&amp;G106&amp;", "&amp;H106&amp;", and "&amp;I106&amp;" are updated on real time Basis."</f>
        <v>Products- Glycerine, , , , , , , and  are updated on real time Basis.</v>
      </c>
    </row>
    <row r="107" spans="1:11" x14ac:dyDescent="0.25">
      <c r="A107" s="12">
        <v>45567</v>
      </c>
      <c r="B107" s="19" t="s">
        <v>174</v>
      </c>
      <c r="C107" s="19" t="s">
        <v>174</v>
      </c>
      <c r="D107" s="19" t="s">
        <v>174</v>
      </c>
    </row>
    <row r="108" spans="1:11" x14ac:dyDescent="0.25">
      <c r="A108" s="12">
        <v>45568</v>
      </c>
      <c r="B108" s="19" t="s">
        <v>262</v>
      </c>
      <c r="C108" s="19"/>
      <c r="D108" s="19"/>
      <c r="K108" t="str">
        <f>"Working on Product ' Global "&amp;B108&amp;" Port Wise Export Data ' for Updating on real time Basis."</f>
        <v>Working on Product ' Global Polypropylene Port Wise Export Data ' for Updating on real time Basis.</v>
      </c>
    </row>
    <row r="109" spans="1:11" x14ac:dyDescent="0.25">
      <c r="A109" s="12">
        <v>45569</v>
      </c>
      <c r="B109" s="19" t="s">
        <v>262</v>
      </c>
      <c r="C109" s="19"/>
      <c r="D109" s="19"/>
      <c r="K109" t="str">
        <f>"Working on Product ' Global "&amp;B109&amp;" Port Wise Export Data ' for Updating on real time Basis."</f>
        <v>Working on Product ' Global Polypropylene Port Wise Export Data ' for Updating on real time Basis.</v>
      </c>
    </row>
  </sheetData>
  <autoFilter ref="A1:K69" xr:uid="{5467E512-EDDB-42B8-9925-00A5828FD2C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D9FD-4E8C-4BB1-B71C-095F169C6AA9}">
  <dimension ref="A1:R104"/>
  <sheetViews>
    <sheetView topLeftCell="A77" workbookViewId="0">
      <selection activeCell="B111" sqref="B111"/>
    </sheetView>
  </sheetViews>
  <sheetFormatPr defaultRowHeight="15" x14ac:dyDescent="0.25"/>
  <cols>
    <col min="2" max="2" width="53.28515625" bestFit="1" customWidth="1"/>
    <col min="3" max="3" width="52.28515625" customWidth="1"/>
    <col min="4" max="4" width="51.85546875" bestFit="1" customWidth="1"/>
    <col min="5" max="5" width="39.42578125" bestFit="1" customWidth="1"/>
    <col min="6" max="6" width="44.140625" bestFit="1" customWidth="1"/>
    <col min="7" max="7" width="39.42578125" bestFit="1" customWidth="1"/>
    <col min="8" max="8" width="36.140625" bestFit="1" customWidth="1"/>
    <col min="9" max="9" width="40.7109375" bestFit="1" customWidth="1"/>
    <col min="11" max="11" width="21.5703125" customWidth="1"/>
  </cols>
  <sheetData>
    <row r="1" spans="1:18" s="17" customFormat="1" ht="15.75" x14ac:dyDescent="0.25">
      <c r="A1" s="15" t="s">
        <v>76</v>
      </c>
      <c r="B1" s="15" t="s">
        <v>85</v>
      </c>
      <c r="C1" s="15" t="s">
        <v>85</v>
      </c>
      <c r="D1" s="15" t="s">
        <v>85</v>
      </c>
      <c r="E1" s="15" t="s">
        <v>85</v>
      </c>
      <c r="F1" s="15" t="s">
        <v>85</v>
      </c>
      <c r="G1" s="15" t="s">
        <v>85</v>
      </c>
      <c r="H1" s="15" t="s">
        <v>85</v>
      </c>
      <c r="I1" s="15" t="s">
        <v>85</v>
      </c>
    </row>
    <row r="2" spans="1:18" x14ac:dyDescent="0.25">
      <c r="A2" s="12">
        <v>45425</v>
      </c>
      <c r="B2" s="16" t="str">
        <f>IF(ISBLANK(Timesheet!B7),"","Global "&amp;Timesheet!B7&amp;" Port Wise Export")</f>
        <v>Global Vinyl Acetate Monomer (VAM) Port Wise Export</v>
      </c>
      <c r="C2" s="16" t="str">
        <f>IF(ISBLANK(Timesheet!C7),"","Global "&amp;Timesheet!C7&amp;" Port Wise Export")</f>
        <v>Global Acetone Port Wise Export</v>
      </c>
      <c r="D2" s="16" t="str">
        <f>IF(ISBLANK(Timesheet!D7),"","Global "&amp;Timesheet!D7&amp;" Port Wise Export")</f>
        <v>Global Nitric Acid Port Wise Export</v>
      </c>
      <c r="E2" s="16" t="str">
        <f>IF(ISBLANK(Timesheet!E7),"","Global "&amp;Timesheet!E7&amp;" Port Wise Export")</f>
        <v>Global EPDM Rubber Port Wise Export</v>
      </c>
      <c r="F2" s="16" t="str">
        <f>IF(ISBLANK(Timesheet!F7),"","Global "&amp;Timesheet!F7&amp;" Port Wise Export")</f>
        <v>Global Polyamide Port Wise Export</v>
      </c>
      <c r="G2" s="16" t="str">
        <f>IF(ISBLANK(Timesheet!G7),"","Global "&amp;Timesheet!G7&amp;" Port Wise Export")</f>
        <v>Global Caustic Potash Port Wise Export</v>
      </c>
      <c r="H2" s="16" t="str">
        <f>IF(ISBLANK(Timesheet!H7),"","Global "&amp;Timesheet!H7&amp;" Port Wise Export")</f>
        <v/>
      </c>
      <c r="I2" s="16" t="str">
        <f>IF(ISBLANK(Timesheet!I7),"","Global "&amp;Timesheet!I7&amp;" Port Wise Export")</f>
        <v/>
      </c>
      <c r="J2" s="16" t="str">
        <f>IF(ISBLANK(Timesheet!J7),"","Global "&amp;Timesheet!J7&amp;" Port Wise Export")</f>
        <v/>
      </c>
      <c r="K2" s="16"/>
      <c r="L2" s="16"/>
      <c r="M2" s="16"/>
      <c r="N2" s="16"/>
      <c r="O2" s="16"/>
      <c r="P2" s="16"/>
      <c r="Q2" s="16"/>
      <c r="R2" s="16"/>
    </row>
    <row r="3" spans="1:18" x14ac:dyDescent="0.25">
      <c r="A3" s="12">
        <v>45426</v>
      </c>
      <c r="B3" s="16" t="str">
        <f>IF(ISBLANK(Timesheet!B8),"","Global "&amp;Timesheet!B8&amp;" Port Wise Export")</f>
        <v>Global Fluoroelastomer Port Wise Export</v>
      </c>
      <c r="C3" s="16" t="str">
        <f>IF(ISBLANK(Timesheet!C8),"","Global "&amp;Timesheet!C8&amp;" Port Wise Export")</f>
        <v>Global Epoxy Resin Port Wise Export</v>
      </c>
      <c r="D3" s="16" t="str">
        <f>IF(ISBLANK(Timesheet!D8),"","Global "&amp;Timesheet!D8&amp;" Port Wise Export")</f>
        <v>Global Phenol Port Wise Export</v>
      </c>
      <c r="E3" s="16" t="str">
        <f>IF(ISBLANK(Timesheet!E8),"","Global "&amp;Timesheet!E8&amp;" Port Wise Export")</f>
        <v/>
      </c>
      <c r="F3" s="16" t="str">
        <f>IF(ISBLANK(Timesheet!F8),"","Global "&amp;Timesheet!F8&amp;" Port Wise Export")</f>
        <v/>
      </c>
      <c r="G3" s="16" t="str">
        <f>IF(ISBLANK(Timesheet!G8),"","Global "&amp;Timesheet!G8&amp;" Port Wise Export")</f>
        <v/>
      </c>
      <c r="H3" s="16" t="str">
        <f>IF(ISBLANK(Timesheet!H8),"","Global "&amp;Timesheet!H8&amp;" Port Wise Export")</f>
        <v/>
      </c>
      <c r="I3" s="16" t="str">
        <f>IF(ISBLANK(Timesheet!I8),"","Global "&amp;Timesheet!I8&amp;" Port Wise Export")</f>
        <v/>
      </c>
      <c r="J3" s="16" t="str">
        <f>IF(ISBLANK(Timesheet!J8),"","Global "&amp;Timesheet!J8&amp;" Port Wise Export")</f>
        <v/>
      </c>
      <c r="K3" s="16"/>
      <c r="L3" s="16"/>
      <c r="M3" s="16"/>
      <c r="N3" s="16"/>
      <c r="O3" s="16"/>
      <c r="P3" s="16"/>
      <c r="Q3" s="16"/>
      <c r="R3" s="16"/>
    </row>
    <row r="4" spans="1:18" x14ac:dyDescent="0.25">
      <c r="A4" s="12">
        <v>45427</v>
      </c>
      <c r="B4" s="16" t="str">
        <f>IF(ISBLANK(Timesheet!B9),"","Global "&amp;Timesheet!B9&amp;" Port Wise Export")</f>
        <v>Global Dimethyl Carbonate Port Wise Export</v>
      </c>
      <c r="C4" s="16" t="str">
        <f>IF(ISBLANK(Timesheet!C9),"","Global "&amp;Timesheet!C9&amp;" Port Wise Export")</f>
        <v>Global Liquid Chlorine Port Wise Export</v>
      </c>
      <c r="D4" s="16" t="str">
        <f>IF(ISBLANK(Timesheet!D9),"","Global "&amp;Timesheet!D9&amp;" Port Wise Export")</f>
        <v/>
      </c>
      <c r="E4" s="16" t="str">
        <f>IF(ISBLANK(Timesheet!E9),"","Global "&amp;Timesheet!E9&amp;" Port Wise Export")</f>
        <v/>
      </c>
      <c r="F4" s="16" t="str">
        <f>IF(ISBLANK(Timesheet!F9),"","Global "&amp;Timesheet!F9&amp;" Port Wise Export")</f>
        <v/>
      </c>
      <c r="G4" s="16" t="str">
        <f>IF(ISBLANK(Timesheet!G9),"","Global "&amp;Timesheet!G9&amp;" Port Wise Export")</f>
        <v/>
      </c>
      <c r="H4" s="16" t="str">
        <f>IF(ISBLANK(Timesheet!H9),"","Global "&amp;Timesheet!H9&amp;" Port Wise Export")</f>
        <v/>
      </c>
      <c r="I4" s="16" t="str">
        <f>IF(ISBLANK(Timesheet!I9),"","Global "&amp;Timesheet!I9&amp;" Port Wise Export")</f>
        <v/>
      </c>
      <c r="J4" s="16" t="str">
        <f>IF(ISBLANK(Timesheet!J9),"","Global "&amp;Timesheet!J9&amp;" Port Wise Export")</f>
        <v/>
      </c>
      <c r="K4" s="16"/>
      <c r="L4" s="16"/>
      <c r="M4" s="16"/>
      <c r="N4" s="16"/>
      <c r="O4" s="16"/>
      <c r="P4" s="16"/>
      <c r="Q4" s="16"/>
      <c r="R4" s="16"/>
    </row>
    <row r="5" spans="1:18" x14ac:dyDescent="0.25">
      <c r="A5" s="12">
        <v>45428</v>
      </c>
      <c r="B5" s="16" t="str">
        <f>IF(ISBLANK(Timesheet!B10),"","Global "&amp;Timesheet!B10&amp;" Port Wise Export")</f>
        <v>Global Nitric Acid Port Wise Export</v>
      </c>
      <c r="C5" s="16" t="str">
        <f>IF(ISBLANK(Timesheet!C10),"","Global "&amp;Timesheet!C10&amp;" Port Wise Export")</f>
        <v>Global EPDM Rubber Port Wise Export</v>
      </c>
      <c r="D5" s="16" t="str">
        <f>IF(ISBLANK(Timesheet!D10),"","Global "&amp;Timesheet!D10&amp;" Port Wise Export")</f>
        <v>Global Polyamide Port Wise Export</v>
      </c>
      <c r="E5" s="16" t="str">
        <f>IF(ISBLANK(Timesheet!E10),"","Global "&amp;Timesheet!E10&amp;" Port Wise Export")</f>
        <v>Global Caustic Potash Port Wise Export</v>
      </c>
      <c r="F5" s="16" t="str">
        <f>IF(ISBLANK(Timesheet!F10),"","Global "&amp;Timesheet!F10&amp;" Port Wise Export")</f>
        <v>Global Dimethyl Carbonate Port Wise Export</v>
      </c>
      <c r="G5" s="16" t="str">
        <f>IF(ISBLANK(Timesheet!G10),"","Global "&amp;Timesheet!G10&amp;" Port Wise Export")</f>
        <v>Global Liquid Chlorine Port Wise Export</v>
      </c>
      <c r="H5" s="16" t="str">
        <f>IF(ISBLANK(Timesheet!H10),"","Global "&amp;Timesheet!H10&amp;" Port Wise Export")</f>
        <v>Global Bisphenol A Port Wise Export</v>
      </c>
      <c r="I5" s="16" t="str">
        <f>IF(ISBLANK(Timesheet!I10),"","Global "&amp;Timesheet!I10&amp;" Port Wise Export")</f>
        <v>Global Fluoroelastomer Port Wise Export</v>
      </c>
      <c r="J5" s="16" t="str">
        <f>IF(ISBLANK(Timesheet!J10),"","Global "&amp;Timesheet!J10&amp;" Port Wise Export")</f>
        <v/>
      </c>
      <c r="K5" s="16"/>
      <c r="L5" s="16"/>
      <c r="M5" s="16"/>
      <c r="N5" s="16"/>
      <c r="O5" s="16"/>
      <c r="P5" s="16"/>
      <c r="Q5" s="16"/>
      <c r="R5" s="16"/>
    </row>
    <row r="6" spans="1:18" x14ac:dyDescent="0.25">
      <c r="A6" s="12">
        <v>45429</v>
      </c>
      <c r="B6" s="16" t="str">
        <f>IF(ISBLANK(Timesheet!B11),"","Global "&amp;Timesheet!B11&amp;" Port Wise Export")</f>
        <v>Global Sulphur Port Wise Export</v>
      </c>
      <c r="C6" s="16" t="str">
        <f>IF(ISBLANK(Timesheet!C11),"","Global "&amp;Timesheet!C11&amp;" Port Wise Export")</f>
        <v/>
      </c>
      <c r="D6" s="16" t="str">
        <f>IF(ISBLANK(Timesheet!D11),"","Global "&amp;Timesheet!D11&amp;" Port Wise Export")</f>
        <v/>
      </c>
      <c r="E6" s="16" t="str">
        <f>IF(ISBLANK(Timesheet!E11),"","Global "&amp;Timesheet!E11&amp;" Port Wise Export")</f>
        <v/>
      </c>
      <c r="F6" s="16" t="str">
        <f>IF(ISBLANK(Timesheet!F11),"","Global "&amp;Timesheet!F11&amp;" Port Wise Export")</f>
        <v/>
      </c>
      <c r="G6" s="16" t="str">
        <f>IF(ISBLANK(Timesheet!G11),"","Global "&amp;Timesheet!G11&amp;" Port Wise Export")</f>
        <v/>
      </c>
      <c r="H6" s="16" t="str">
        <f>IF(ISBLANK(Timesheet!H11),"","Global "&amp;Timesheet!H11&amp;" Port Wise Export")</f>
        <v/>
      </c>
      <c r="I6" s="16" t="str">
        <f>IF(ISBLANK(Timesheet!I11),"","Global "&amp;Timesheet!I11&amp;" Port Wise Export")</f>
        <v/>
      </c>
      <c r="J6" s="16" t="str">
        <f>IF(ISBLANK(Timesheet!J11),"","Global "&amp;Timesheet!J11&amp;" Port Wise Export")</f>
        <v/>
      </c>
      <c r="K6" s="16"/>
      <c r="L6" s="16"/>
      <c r="M6" s="16"/>
      <c r="N6" s="16"/>
      <c r="O6" s="16"/>
      <c r="P6" s="16"/>
      <c r="Q6" s="16"/>
      <c r="R6" s="16"/>
    </row>
    <row r="7" spans="1:18" x14ac:dyDescent="0.25">
      <c r="A7" s="12">
        <v>45432</v>
      </c>
      <c r="B7" s="16" t="str">
        <f>IF(ISBLANK(Timesheet!B12),"","Global "&amp;Timesheet!B12&amp;" Port Wise Export")</f>
        <v>Global Vinyl Acetate Monomer (VAM) Port Wise Export</v>
      </c>
      <c r="C7" s="16" t="str">
        <f>IF(ISBLANK(Timesheet!C12),"","Global "&amp;Timesheet!C12&amp;" Port Wise Export")</f>
        <v>Global Acetone Port Wise Export</v>
      </c>
      <c r="D7" s="16" t="str">
        <f>IF(ISBLANK(Timesheet!D12),"","Global "&amp;Timesheet!D12&amp;" Port Wise Export")</f>
        <v>Global Soda Ash Port Wise Export</v>
      </c>
      <c r="E7" s="16" t="str">
        <f>IF(ISBLANK(Timesheet!E12),"","Global "&amp;Timesheet!E12&amp;" Port Wise Export")</f>
        <v/>
      </c>
    </row>
    <row r="8" spans="1:18" x14ac:dyDescent="0.25">
      <c r="A8" s="12">
        <v>45433</v>
      </c>
      <c r="B8" s="16" t="str">
        <f>IF(ISBLANK(Timesheet!B13),"","Global "&amp;Timesheet!B13&amp;" Port Wise Export")</f>
        <v>Global Mixed Xylene Port Wise Export</v>
      </c>
      <c r="C8" s="16" t="str">
        <f>IF(ISBLANK(Timesheet!C13),"","Global "&amp;Timesheet!C13&amp;" Port Wise Export")</f>
        <v>Global Toluene Diisocyanate Port Wise Export</v>
      </c>
      <c r="D8" s="16" t="str">
        <f>IF(ISBLANK(Timesheet!D13),"","Global "&amp;Timesheet!D13&amp;" Port Wise Export")</f>
        <v>Global Fluoroelastomer Port Wise Export</v>
      </c>
      <c r="E8" s="16" t="str">
        <f>IF(ISBLANK(Timesheet!E13),"","Global "&amp;Timesheet!E13&amp;" Port Wise Export")</f>
        <v>Global Phenol Port Wise Export</v>
      </c>
    </row>
    <row r="9" spans="1:18" x14ac:dyDescent="0.25">
      <c r="A9" s="12">
        <v>45434</v>
      </c>
      <c r="B9" s="16" t="str">
        <f>IF(ISBLANK(Timesheet!B14),"","Global "&amp;Timesheet!B14&amp;" Port Wise Export")</f>
        <v>Global Styrene Block Copolymer Port Wise Export</v>
      </c>
      <c r="C9" s="16" t="str">
        <f>IF(ISBLANK(Timesheet!C14),"","Global "&amp;Timesheet!C14&amp;" Port Wise Export")</f>
        <v>Global Sodium Sulphate Port Wise Export</v>
      </c>
      <c r="D9" s="16" t="str">
        <f>IF(ISBLANK(Timesheet!D14),"","Global "&amp;Timesheet!D14&amp;" Port Wise Export")</f>
        <v/>
      </c>
      <c r="E9" s="16" t="str">
        <f>IF(ISBLANK(Timesheet!E14),"","Global "&amp;Timesheet!E14&amp;" Port Wise Export")</f>
        <v/>
      </c>
    </row>
    <row r="10" spans="1:18" x14ac:dyDescent="0.25">
      <c r="A10" s="12">
        <v>45435</v>
      </c>
      <c r="B10" s="16" t="str">
        <f>IF(ISBLANK(Timesheet!B15),"","Global "&amp;Timesheet!B15&amp;" Port Wise Export")</f>
        <v>Global Acetone Port Wise Export</v>
      </c>
      <c r="C10" s="16" t="str">
        <f>IF(ISBLANK(Timesheet!C15),"","Global "&amp;Timesheet!C15&amp;" Port Wise Export")</f>
        <v>Global Nitric Acid Port Wise Export</v>
      </c>
      <c r="D10" s="16" t="str">
        <f>IF(ISBLANK(Timesheet!D15),"","Global "&amp;Timesheet!D15&amp;" Port Wise Export")</f>
        <v>Global Mono Ethylene Glycol (MEG) Port Wise Export</v>
      </c>
      <c r="E10" s="16" t="str">
        <f>IF(ISBLANK(Timesheet!E15),"","Global "&amp;Timesheet!E15&amp;" Port Wise Export")</f>
        <v/>
      </c>
    </row>
    <row r="11" spans="1:18" x14ac:dyDescent="0.25">
      <c r="A11" s="12">
        <v>45436</v>
      </c>
      <c r="B11" s="16" t="str">
        <f>IF(ISBLANK(Timesheet!B16),"","Global "&amp;Timesheet!B16&amp;" Port Wise Export")</f>
        <v>Global Caustic Potash Port Wise Export</v>
      </c>
      <c r="C11" s="16" t="str">
        <f>IF(ISBLANK(Timesheet!C16),"","Global "&amp;Timesheet!C16&amp;" Port Wise Export")</f>
        <v>Global Toluene Diisocyanate Port Wise Export</v>
      </c>
      <c r="D11" s="16" t="str">
        <f>IF(ISBLANK(Timesheet!D16),"","Global "&amp;Timesheet!D16&amp;" Port Wise Export")</f>
        <v>Global Fluoroelastomer Port Wise Export</v>
      </c>
      <c r="E11" s="16" t="str">
        <f>IF(ISBLANK(Timesheet!E16),"","Global "&amp;Timesheet!E16&amp;" Port Wise Export")</f>
        <v>Global Acrylic Acid Port Wise Export</v>
      </c>
      <c r="F11" s="16" t="str">
        <f>IF(ISBLANK(Timesheet!F16),"","Global "&amp;Timesheet!F16&amp;" Port Wise Export")</f>
        <v>Global Phenol Port Wise Export</v>
      </c>
      <c r="G11" s="16" t="str">
        <f>IF(ISBLANK(Timesheet!G16),"","Global "&amp;Timesheet!G16&amp;" Port Wise Export")</f>
        <v>Global Soda Ash Port Wise Export</v>
      </c>
      <c r="H11" s="16" t="str">
        <f>IF(ISBLANK(Timesheet!H16),"","Global "&amp;Timesheet!H16&amp;" Port Wise Export")</f>
        <v/>
      </c>
    </row>
    <row r="12" spans="1:18" x14ac:dyDescent="0.25">
      <c r="A12" s="12">
        <v>45439</v>
      </c>
      <c r="B12" s="16" t="str">
        <f>IF(ISBLANK(Timesheet!B17),"","Global "&amp;Timesheet!B17&amp;" Port Wise Export")</f>
        <v>Global Mixed Xylene Port Wise Export</v>
      </c>
      <c r="C12" s="16" t="str">
        <f>IF(ISBLANK(Timesheet!C17),"","Global "&amp;Timesheet!C17&amp;" Port Wise Export")</f>
        <v>Global Sodium Sulphate Port Wise Export</v>
      </c>
      <c r="D12" s="16" t="str">
        <f>IF(ISBLANK(Timesheet!D17),"","Global "&amp;Timesheet!D17&amp;" Port Wise Export")</f>
        <v/>
      </c>
      <c r="E12" s="16" t="str">
        <f>IF(ISBLANK(Timesheet!E17),"","Global "&amp;Timesheet!E17&amp;" Port Wise Export")</f>
        <v/>
      </c>
      <c r="G12" s="16" t="str">
        <f>IF(ISBLANK(Timesheet!G17),"","Global "&amp;Timesheet!G17&amp;" Port Wise Export")</f>
        <v/>
      </c>
      <c r="H12" s="16" t="str">
        <f>IF(ISBLANK(Timesheet!H17),"","Global "&amp;Timesheet!H17&amp;" Port Wise Export")</f>
        <v/>
      </c>
    </row>
    <row r="13" spans="1:18" x14ac:dyDescent="0.25">
      <c r="A13" s="12">
        <v>45440</v>
      </c>
      <c r="B13" s="16" t="str">
        <f>IF(ISBLANK(Timesheet!B18),"","Global "&amp;Timesheet!B18&amp;" Port Wise Export")</f>
        <v>Global Dimethyl Carbonate Port Wise Export</v>
      </c>
      <c r="C13" s="16" t="str">
        <f>IF(ISBLANK(Timesheet!C18),"","Global "&amp;Timesheet!C18&amp;" Port Wise Export")</f>
        <v>Global Liquid Chlorine Port Wise Export</v>
      </c>
      <c r="D13" s="16" t="str">
        <f>IF(ISBLANK(Timesheet!D18),"","Global "&amp;Timesheet!D18&amp;" Port Wise Export")</f>
        <v>Global Bisphenol A Port Wise Export</v>
      </c>
      <c r="E13" s="16" t="str">
        <f>IF(ISBLANK(Timesheet!E18),"","Global "&amp;Timesheet!E18&amp;" Port Wise Export")</f>
        <v>Global Sulphur Port Wise Export</v>
      </c>
      <c r="G13" s="16" t="str">
        <f>IF(ISBLANK(Timesheet!G18),"","Global "&amp;Timesheet!G18&amp;" Port Wise Export")</f>
        <v/>
      </c>
      <c r="H13" s="16" t="str">
        <f>IF(ISBLANK(Timesheet!H18),"","Global "&amp;Timesheet!H18&amp;" Port Wise Export")</f>
        <v/>
      </c>
    </row>
    <row r="14" spans="1:18" x14ac:dyDescent="0.25">
      <c r="A14" s="12">
        <v>45441</v>
      </c>
      <c r="B14" s="16" t="str">
        <f>IF(ISBLANK(Timesheet!B19),"","Global "&amp;Timesheet!B19&amp;" Port Wise Export")</f>
        <v>Global Caustic Potash Port Wise Export</v>
      </c>
      <c r="C14" s="16" t="str">
        <f>IF(ISBLANK(Timesheet!C19),"","Global "&amp;Timesheet!C19&amp;" Port Wise Export")</f>
        <v>Global Ethylene Vinyl Acetate (EVA) Port Wise Export</v>
      </c>
      <c r="D14" s="16" t="str">
        <f>IF(ISBLANK(Timesheet!D19),"","Global "&amp;Timesheet!D19&amp;" Port Wise Export")</f>
        <v/>
      </c>
      <c r="E14" s="16" t="str">
        <f>IF(ISBLANK(Timesheet!E19),"","Global "&amp;Timesheet!E19&amp;" Port Wise Export")</f>
        <v/>
      </c>
      <c r="G14" s="16" t="str">
        <f>IF(ISBLANK(Timesheet!G19),"","Global "&amp;Timesheet!G19&amp;" Port Wise Export")</f>
        <v/>
      </c>
      <c r="H14" s="16" t="str">
        <f>IF(ISBLANK(Timesheet!H19),"","Global "&amp;Timesheet!H19&amp;" Port Wise Export")</f>
        <v/>
      </c>
    </row>
    <row r="15" spans="1:18" x14ac:dyDescent="0.25">
      <c r="A15" s="12">
        <v>45442</v>
      </c>
      <c r="B15" s="16" t="str">
        <f>IF(ISBLANK(Timesheet!B20),"","Global "&amp;Timesheet!B20&amp;" Port Wise Export")</f>
        <v>Global EPDM Rubber Port Wise Export</v>
      </c>
      <c r="C15" s="16" t="str">
        <f>IF(ISBLANK(Timesheet!C20),"","Global "&amp;Timesheet!C20&amp;" Port Wise Export")</f>
        <v>Global Epoxy Resin Port Wise Export</v>
      </c>
      <c r="D15" s="16" t="str">
        <f>IF(ISBLANK(Timesheet!D20),"","Global "&amp;Timesheet!D20&amp;" Port Wise Export")</f>
        <v/>
      </c>
      <c r="E15" s="16" t="str">
        <f>IF(ISBLANK(Timesheet!E20),"","Global "&amp;Timesheet!E20&amp;" Port Wise Export")</f>
        <v/>
      </c>
      <c r="G15" s="16" t="str">
        <f>IF(ISBLANK(Timesheet!G20),"","Global "&amp;Timesheet!G20&amp;" Port Wise Export")</f>
        <v/>
      </c>
      <c r="H15" s="16" t="str">
        <f>IF(ISBLANK(Timesheet!H20),"","Global "&amp;Timesheet!H20&amp;" Port Wise Export")</f>
        <v/>
      </c>
    </row>
    <row r="16" spans="1:18" x14ac:dyDescent="0.25">
      <c r="A16" s="12">
        <v>45443</v>
      </c>
      <c r="B16" s="16" t="str">
        <f>IF(ISBLANK(Timesheet!B21),"","Global "&amp;Timesheet!B21&amp;" Port Wise Export")</f>
        <v>Global Vinyl Acetate Monomer (VAM) Port Wise Export</v>
      </c>
      <c r="C16" s="16" t="str">
        <f>IF(ISBLANK(Timesheet!C21),"","Global "&amp;Timesheet!C21&amp;" Port Wise Export")</f>
        <v>Global Acetone Port Wise Export</v>
      </c>
      <c r="D16" s="16" t="str">
        <f>IF(ISBLANK(Timesheet!D21),"","Global "&amp;Timesheet!D21&amp;" Port Wise Export")</f>
        <v>Global Nitric Acid Port Wise Export</v>
      </c>
      <c r="E16" s="16" t="str">
        <f>IF(ISBLANK(Timesheet!E21),"","Global "&amp;Timesheet!E21&amp;" Port Wise Export")</f>
        <v>Global Polyamide Port Wise Export</v>
      </c>
      <c r="F16" s="16" t="str">
        <f>IF(ISBLANK(Timesheet!F21),"","Global "&amp;Timesheet!F21&amp;" Port Wise Export")</f>
        <v>Global Mono Ethylene Glycol (MEG) Port Wise Export</v>
      </c>
      <c r="G16" s="16" t="str">
        <f>IF(ISBLANK(Timesheet!G21),"","Global "&amp;Timesheet!G21&amp;" Port Wise Export")</f>
        <v/>
      </c>
      <c r="H16" s="16" t="str">
        <f>IF(ISBLANK(Timesheet!H21),"","Global "&amp;Timesheet!H21&amp;" Port Wise Export")</f>
        <v/>
      </c>
    </row>
    <row r="17" spans="1:8" x14ac:dyDescent="0.25">
      <c r="A17" s="12">
        <v>45446</v>
      </c>
      <c r="B17" s="16" t="str">
        <f>IF(ISBLANK(Timesheet!B22),"","Global "&amp;Timesheet!B22&amp;" Port Wise Export")</f>
        <v>Global Toluene Diisocyanate Port Wise Export</v>
      </c>
      <c r="C17" s="16" t="str">
        <f>IF(ISBLANK(Timesheet!C22),"","Global "&amp;Timesheet!C22&amp;" Port Wise Export")</f>
        <v>Global Phenol Port Wise Export</v>
      </c>
      <c r="D17" s="16" t="str">
        <f>IF(ISBLANK(Timesheet!D22),"","Global "&amp;Timesheet!D22&amp;" Port Wise Export")</f>
        <v>Global Soda Ash Port Wise Export</v>
      </c>
      <c r="E17" s="16" t="str">
        <f>IF(ISBLANK(Timesheet!E22),"","Global "&amp;Timesheet!E22&amp;" Port Wise Export")</f>
        <v/>
      </c>
      <c r="F17" s="16" t="str">
        <f>IF(ISBLANK(Timesheet!F22),"","Global "&amp;Timesheet!F22&amp;" Port Wise Export")</f>
        <v/>
      </c>
      <c r="G17" s="16" t="str">
        <f>IF(ISBLANK(Timesheet!G22),"","Global "&amp;Timesheet!G22&amp;" Port Wise Export")</f>
        <v/>
      </c>
      <c r="H17" s="16" t="str">
        <f>IF(ISBLANK(Timesheet!H22),"","Global "&amp;Timesheet!H22&amp;" Port Wise Export")</f>
        <v/>
      </c>
    </row>
    <row r="18" spans="1:8" x14ac:dyDescent="0.25">
      <c r="A18" s="12">
        <v>45447</v>
      </c>
      <c r="B18" s="16" t="str">
        <f>IF(ISBLANK(Timesheet!B23),"","Global "&amp;Timesheet!B23&amp;" Port Wise Export")</f>
        <v>Global Mixed Xylene Port Wise Export</v>
      </c>
      <c r="C18" s="16" t="str">
        <f>IF(ISBLANK(Timesheet!C23),"","Global "&amp;Timesheet!C23&amp;" Port Wise Export")</f>
        <v>Global Styrene Copolymer Port Wise Export</v>
      </c>
      <c r="D18" s="16" t="str">
        <f>IF(ISBLANK(Timesheet!D23),"","Global "&amp;Timesheet!D23&amp;" Port Wise Export")</f>
        <v>Global Fluoroelastomer Port Wise Export</v>
      </c>
      <c r="E18" s="16" t="str">
        <f>IF(ISBLANK(Timesheet!E23),"","Global "&amp;Timesheet!E23&amp;" Port Wise Export")</f>
        <v>Global Acrylic Acid Port Wise Export</v>
      </c>
      <c r="F18" s="16" t="str">
        <f>IF(ISBLANK(Timesheet!F23),"","Global "&amp;Timesheet!F23&amp;" Port Wise Export")</f>
        <v/>
      </c>
      <c r="G18" s="16" t="str">
        <f>IF(ISBLANK(Timesheet!G23),"","Global "&amp;Timesheet!G23&amp;" Port Wise Export")</f>
        <v/>
      </c>
      <c r="H18" s="16" t="str">
        <f>IF(ISBLANK(Timesheet!H23),"","Global "&amp;Timesheet!H23&amp;" Port Wise Export")</f>
        <v/>
      </c>
    </row>
    <row r="19" spans="1:8" x14ac:dyDescent="0.25">
      <c r="A19" s="12">
        <v>45448</v>
      </c>
      <c r="B19" s="16" t="str">
        <f>IF(ISBLANK(Timesheet!B24),"","Global "&amp;Timesheet!B24&amp;" Port Wise Export")</f>
        <v>Global Titanium Dioxide Port Wise Export</v>
      </c>
      <c r="C19" s="16" t="str">
        <f>IF(ISBLANK(Timesheet!C24),"","Global "&amp;Timesheet!C24&amp;" Port Wise Export")</f>
        <v/>
      </c>
      <c r="D19" s="16" t="str">
        <f>IF(ISBLANK(Timesheet!D24),"","Global "&amp;Timesheet!D24&amp;" Port Wise Export")</f>
        <v/>
      </c>
      <c r="E19" s="16" t="str">
        <f>IF(ISBLANK(Timesheet!E24),"","Global "&amp;Timesheet!E24&amp;" Port Wise Export")</f>
        <v/>
      </c>
      <c r="F19" s="16" t="str">
        <f>IF(ISBLANK(Timesheet!F24),"","Global "&amp;Timesheet!F24&amp;" Port Wise Export")</f>
        <v/>
      </c>
      <c r="G19" s="16" t="str">
        <f>IF(ISBLANK(Timesheet!G24),"","Global "&amp;Timesheet!G24&amp;" Port Wise Export")</f>
        <v/>
      </c>
      <c r="H19" s="16" t="str">
        <f>IF(ISBLANK(Timesheet!H24),"","Global "&amp;Timesheet!H24&amp;" Port Wise Export")</f>
        <v/>
      </c>
    </row>
    <row r="20" spans="1:8" x14ac:dyDescent="0.25">
      <c r="A20" s="12">
        <v>45449</v>
      </c>
      <c r="B20" s="16" t="str">
        <f>IF(ISBLANK(Timesheet!B25),"","Global "&amp;Timesheet!B25&amp;" Port Wise Export")</f>
        <v>Global Epoxy Resin Port Wise Export</v>
      </c>
      <c r="C20" s="16" t="str">
        <f>IF(ISBLANK(Timesheet!C25),"","Global "&amp;Timesheet!C25&amp;" Port Wise Export")</f>
        <v>Global Bisphenol A Port Wise Export</v>
      </c>
      <c r="D20" s="16" t="str">
        <f>IF(ISBLANK(Timesheet!D25),"","Global "&amp;Timesheet!D25&amp;" Port Wise Export")</f>
        <v>Global Sulphur Port Wise Export</v>
      </c>
      <c r="E20" s="16" t="str">
        <f>IF(ISBLANK(Timesheet!E25),"","Global "&amp;Timesheet!E25&amp;" Port Wise Export")</f>
        <v>Global EPDM Rubber Port Wise Export</v>
      </c>
      <c r="F20" s="16" t="str">
        <f>IF(ISBLANK(Timesheet!F25),"","Global "&amp;Timesheet!F25&amp;" Port Wise Export")</f>
        <v>Global Caustic Potash Port Wise Export</v>
      </c>
      <c r="G20" s="16" t="str">
        <f>IF(ISBLANK(Timesheet!G25),"","Global "&amp;Timesheet!G25&amp;" Port Wise Export")</f>
        <v>Global Dimethyl Carbonate Port Wise Export</v>
      </c>
      <c r="H20" s="16" t="str">
        <f>IF(ISBLANK(Timesheet!H25),"","Global "&amp;Timesheet!H25&amp;" Port Wise Export")</f>
        <v>Global Ethylene Vinyl Acetate (EVA) Port Wise Export</v>
      </c>
    </row>
    <row r="21" spans="1:8" x14ac:dyDescent="0.25">
      <c r="A21" s="12">
        <v>45450</v>
      </c>
      <c r="B21" s="16" t="str">
        <f>IF(ISBLANK(Timesheet!B26),"","Global "&amp;Timesheet!B26&amp;" Port Wise Export")</f>
        <v>Global C10 Solvent Port Wise Export</v>
      </c>
      <c r="C21" s="16" t="str">
        <f>IF(ISBLANK(Timesheet!C26),"","Global "&amp;Timesheet!C26&amp;" Port Wise Export")</f>
        <v>Global Phosphorus Pentachloride Port Wise Export</v>
      </c>
      <c r="D21" s="16" t="str">
        <f>IF(ISBLANK(Timesheet!D26),"","Global "&amp;Timesheet!D26&amp;" Port Wise Export")</f>
        <v>Global Iso Butyric Acid Port Wise Export</v>
      </c>
      <c r="E21" s="16" t="str">
        <f>IF(ISBLANK(Timesheet!E26),"","Global "&amp;Timesheet!E26&amp;" Port Wise Export")</f>
        <v>Global C9 Solvent Port Wise Export</v>
      </c>
      <c r="F21" s="16" t="str">
        <f>IF(ISBLANK(Timesheet!F26),"","Global "&amp;Timesheet!F26&amp;" Port Wise Export")</f>
        <v/>
      </c>
      <c r="G21" s="16"/>
    </row>
    <row r="22" spans="1:8" x14ac:dyDescent="0.25">
      <c r="A22" s="12">
        <v>45455</v>
      </c>
      <c r="B22" s="16" t="str">
        <f>IF(ISBLANK(Timesheet!B27),"","Global "&amp;Timesheet!B27&amp;" Port Wise Export")</f>
        <v>Global 2-Ethylhexyl Nitrate Port Wise Export</v>
      </c>
      <c r="C22" s="16" t="str">
        <f>IF(ISBLANK(Timesheet!C27),"","Global "&amp;Timesheet!C27&amp;" Port Wise Export")</f>
        <v>Global Erucic Acid Port Wise Export</v>
      </c>
      <c r="D22" s="16" t="str">
        <f>IF(ISBLANK(Timesheet!D27),"","Global "&amp;Timesheet!D27&amp;" Port Wise Export")</f>
        <v>Global Methyl Isobutyl Ketone (MIBK) Port Wise Export</v>
      </c>
      <c r="E22" s="16" t="str">
        <f>IF(ISBLANK(Timesheet!E27),"","Global "&amp;Timesheet!E27&amp;" Port Wise Export")</f>
        <v/>
      </c>
    </row>
    <row r="23" spans="1:8" x14ac:dyDescent="0.25">
      <c r="A23" s="12">
        <v>45456</v>
      </c>
      <c r="B23" s="16" t="str">
        <f>IF(ISBLANK(Timesheet!B28),"","Global "&amp;Timesheet!B28&amp;" Port Wise Export")</f>
        <v>Global Methylene Dichloride Port Wise Export</v>
      </c>
      <c r="C23" s="16" t="str">
        <f>IF(ISBLANK(Timesheet!C28),"","Global "&amp;Timesheet!C28&amp;" Port Wise Export")</f>
        <v>Global Benzyl Chloride Port Wise Export</v>
      </c>
      <c r="D23" s="16" t="str">
        <f>IF(ISBLANK(Timesheet!D28),"","Global "&amp;Timesheet!D28&amp;" Port Wise Export")</f>
        <v>Global Ethylene Carbonate (EC) Port Wise Export</v>
      </c>
      <c r="E23" s="16" t="str">
        <f>IF(ISBLANK(Timesheet!E28),"","Global "&amp;Timesheet!E28&amp;" Port Wise Export")</f>
        <v/>
      </c>
    </row>
    <row r="24" spans="1:8" x14ac:dyDescent="0.25">
      <c r="A24" s="12">
        <v>45457</v>
      </c>
      <c r="B24" s="16" t="str">
        <f>IF(ISBLANK(Timesheet!B29),"","Global "&amp;Timesheet!B29&amp;" Port Wise Export")</f>
        <v>Global NitroBenzene Port Wise Export</v>
      </c>
      <c r="C24" s="16" t="str">
        <f>IF(ISBLANK(Timesheet!C29),"","Global "&amp;Timesheet!C29&amp;" Port Wise Export")</f>
        <v>Global Sulphuric Acid Port Wise Export</v>
      </c>
      <c r="D24" s="16" t="str">
        <f>IF(ISBLANK(Timesheet!D29),"","Global "&amp;Timesheet!D29&amp;" Port Wise Export")</f>
        <v/>
      </c>
      <c r="E24" s="16" t="str">
        <f>IF(ISBLANK(Timesheet!E29),"","Global "&amp;Timesheet!E29&amp;" Port Wise Export")</f>
        <v/>
      </c>
    </row>
    <row r="25" spans="1:8" x14ac:dyDescent="0.25">
      <c r="A25" s="12">
        <v>45460</v>
      </c>
      <c r="B25" s="16" t="str">
        <f>IF(ISBLANK(Timesheet!B30),"","Global "&amp;Timesheet!B30&amp;" Port Wise Export")</f>
        <v>Global Aniline Port Wise Export</v>
      </c>
      <c r="C25" s="16" t="str">
        <f>IF(ISBLANK(Timesheet!C30),"","Global "&amp;Timesheet!C30&amp;" Port Wise Export")</f>
        <v>Global Polyisobutylene Port Wise Export</v>
      </c>
      <c r="D25" s="16" t="str">
        <f>IF(ISBLANK(Timesheet!D30),"","Global "&amp;Timesheet!D30&amp;" Port Wise Export")</f>
        <v/>
      </c>
      <c r="E25" s="16" t="str">
        <f>IF(ISBLANK(Timesheet!E30),"","Global "&amp;Timesheet!E30&amp;" Port Wise Export")</f>
        <v/>
      </c>
    </row>
    <row r="26" spans="1:8" x14ac:dyDescent="0.25">
      <c r="A26" s="12">
        <v>45461</v>
      </c>
      <c r="B26" s="16" t="str">
        <f>IF(ISBLANK(Timesheet!B31),"","Global "&amp;Timesheet!B31&amp;" Port Wise Export")</f>
        <v/>
      </c>
      <c r="C26" s="16" t="str">
        <f>IF(ISBLANK(Timesheet!C31),"","Global "&amp;Timesheet!C31&amp;" Port Wise Export")</f>
        <v/>
      </c>
      <c r="D26" s="16" t="str">
        <f>IF(ISBLANK(Timesheet!D31),"","Global "&amp;Timesheet!D31&amp;" Port Wise Export")</f>
        <v/>
      </c>
      <c r="E26" s="16" t="str">
        <f>IF(ISBLANK(Timesheet!E31),"","Global "&amp;Timesheet!E31&amp;" Port Wise Export")</f>
        <v/>
      </c>
    </row>
    <row r="27" spans="1:8" x14ac:dyDescent="0.25">
      <c r="A27" s="12">
        <v>45462</v>
      </c>
      <c r="B27" s="16" t="str">
        <f>IF(ISBLANK(Timesheet!B32),"","Global "&amp;Timesheet!B32&amp;" Port Wise Export")</f>
        <v>Global Methionine Port Wise Export</v>
      </c>
      <c r="C27" s="16" t="str">
        <f>IF(ISBLANK(Timesheet!C32),"","Global "&amp;Timesheet!C32&amp;" Port Wise Export")</f>
        <v>Global Neoprene Rubber Port Wise Export</v>
      </c>
      <c r="D27" s="16" t="str">
        <f>IF(ISBLANK(Timesheet!D32),"","Global "&amp;Timesheet!D32&amp;" Port Wise Export")</f>
        <v/>
      </c>
      <c r="E27" s="16" t="str">
        <f>IF(ISBLANK(Timesheet!E32),"","Global "&amp;Timesheet!E32&amp;" Port Wise Export")</f>
        <v/>
      </c>
    </row>
    <row r="28" spans="1:8" x14ac:dyDescent="0.25">
      <c r="A28" s="12">
        <v>45463</v>
      </c>
      <c r="B28" s="16" t="str">
        <f>IF(ISBLANK(Timesheet!B33),"","Global "&amp;Timesheet!B33&amp;" Port Wise Export")</f>
        <v>Global Polyethylene Terephthalate (PET) Port Wise Export</v>
      </c>
      <c r="C28" s="16" t="str">
        <f>IF(ISBLANK(Timesheet!C33),"","Global "&amp;Timesheet!C33&amp;" Port Wise Export")</f>
        <v/>
      </c>
      <c r="D28" s="16" t="str">
        <f>IF(ISBLANK(Timesheet!D33),"","Global "&amp;Timesheet!D33&amp;" Port Wise Export")</f>
        <v/>
      </c>
      <c r="E28" s="16" t="str">
        <f>IF(ISBLANK(Timesheet!E33),"","Global "&amp;Timesheet!E33&amp;" Port Wise Export")</f>
        <v/>
      </c>
    </row>
    <row r="29" spans="1:8" x14ac:dyDescent="0.25">
      <c r="A29" s="12">
        <v>45464</v>
      </c>
      <c r="B29" s="16" t="str">
        <f>IF(ISBLANK(Timesheet!B34),"","Global "&amp;Timesheet!B34&amp;" Port Wise Export")</f>
        <v>Global Lysine Hydrochloride Port Wise Export</v>
      </c>
      <c r="C29" s="16" t="str">
        <f>IF(ISBLANK(Timesheet!C34),"","Global "&amp;Timesheet!C34&amp;" Port Wise Export")</f>
        <v>Global Natural Rubber (TSR) Port Wise Export</v>
      </c>
      <c r="D29" s="16" t="str">
        <f>IF(ISBLANK(Timesheet!D34),"","Global "&amp;Timesheet!D34&amp;" Port Wise Export")</f>
        <v/>
      </c>
      <c r="E29" s="16" t="str">
        <f>IF(ISBLANK(Timesheet!E34),"","Global "&amp;Timesheet!E34&amp;" Port Wise Export")</f>
        <v/>
      </c>
    </row>
    <row r="30" spans="1:8" x14ac:dyDescent="0.25">
      <c r="A30" s="12">
        <v>45467</v>
      </c>
      <c r="B30" s="16" t="str">
        <f>IF(ISBLANK(Timesheet!B35),"","Global "&amp;Timesheet!B35&amp;" Port Wise Export")</f>
        <v>Global 2-Ethylhexanol Port Wise Export</v>
      </c>
      <c r="C30" s="16" t="str">
        <f>IF(ISBLANK(Timesheet!C35),"","Global "&amp;Timesheet!C35&amp;" Port Wise Export")</f>
        <v/>
      </c>
      <c r="D30" s="16" t="str">
        <f>IF(ISBLANK(Timesheet!D35),"","Global "&amp;Timesheet!D35&amp;" Port Wise Export")</f>
        <v/>
      </c>
      <c r="E30" s="16" t="str">
        <f>IF(ISBLANK(Timesheet!E35),"","Global "&amp;Timesheet!E35&amp;" Port Wise Export")</f>
        <v/>
      </c>
    </row>
    <row r="31" spans="1:8" x14ac:dyDescent="0.25">
      <c r="A31" s="12">
        <v>45468</v>
      </c>
      <c r="B31" s="16" t="str">
        <f>IF(ISBLANK(Timesheet!B36),"","Global "&amp;Timesheet!B36&amp;" Port Wise Export")</f>
        <v>Global Benzoic Acid Port Wise Export</v>
      </c>
      <c r="C31" s="16" t="str">
        <f>IF(ISBLANK(Timesheet!C36),"","Global "&amp;Timesheet!C36&amp;" Port Wise Export")</f>
        <v/>
      </c>
      <c r="D31" s="16" t="str">
        <f>IF(ISBLANK(Timesheet!D36),"","Global "&amp;Timesheet!D36&amp;" Port Wise Export")</f>
        <v/>
      </c>
      <c r="E31" s="16" t="str">
        <f>IF(ISBLANK(Timesheet!E36),"","Global "&amp;Timesheet!E36&amp;" Port Wise Export")</f>
        <v/>
      </c>
    </row>
    <row r="32" spans="1:8" x14ac:dyDescent="0.25">
      <c r="A32" s="12">
        <v>45469</v>
      </c>
      <c r="B32" s="16" t="str">
        <f>IF(ISBLANK(Timesheet!B37),"","Global "&amp;Timesheet!B37&amp;" Port Wise Export")</f>
        <v>Global Vinyl Acetate Monomer (VAM) Port Wise Export</v>
      </c>
      <c r="C32" s="16" t="str">
        <f>IF(ISBLANK(Timesheet!C37),"","Global "&amp;Timesheet!C37&amp;" Port Wise Export")</f>
        <v>Global Benzaldehyde Port Wise Export</v>
      </c>
      <c r="D32" s="16" t="str">
        <f>IF(ISBLANK(Timesheet!D37),"","Global "&amp;Timesheet!D37&amp;" Port Wise Export")</f>
        <v/>
      </c>
      <c r="E32" s="16" t="str">
        <f>IF(ISBLANK(Timesheet!E37),"","Global "&amp;Timesheet!E37&amp;" Port Wise Export")</f>
        <v/>
      </c>
    </row>
    <row r="33" spans="1:5" x14ac:dyDescent="0.25">
      <c r="A33" s="12">
        <v>45470</v>
      </c>
      <c r="B33" s="16" t="str">
        <f>IF(ISBLANK(Timesheet!B38),"","Global "&amp;Timesheet!B38&amp;" Port Wise Export")</f>
        <v/>
      </c>
      <c r="C33" s="16" t="str">
        <f>IF(ISBLANK(Timesheet!C38),"","Global "&amp;Timesheet!C38&amp;" Port Wise Export")</f>
        <v/>
      </c>
      <c r="D33" s="16" t="str">
        <f>IF(ISBLANK(Timesheet!D38),"","Global "&amp;Timesheet!D38&amp;" Port Wise Export")</f>
        <v/>
      </c>
      <c r="E33" s="16" t="str">
        <f>IF(ISBLANK(Timesheet!E38),"","Global "&amp;Timesheet!E38&amp;" Port Wise Export")</f>
        <v/>
      </c>
    </row>
    <row r="34" spans="1:5" x14ac:dyDescent="0.25">
      <c r="A34" s="12">
        <v>45471</v>
      </c>
      <c r="B34" s="16" t="str">
        <f>IF(ISBLANK(Timesheet!B39),"","Global "&amp;Timesheet!B39&amp;" Port Wise Export")</f>
        <v>Global Titanium Dioxide Port Wise Export</v>
      </c>
      <c r="C34" s="16" t="str">
        <f>IF(ISBLANK(Timesheet!C39),"","Global "&amp;Timesheet!C39&amp;" Port Wise Export")</f>
        <v/>
      </c>
      <c r="D34" s="16" t="str">
        <f>IF(ISBLANK(Timesheet!D39),"","Global "&amp;Timesheet!D39&amp;" Port Wise Export")</f>
        <v/>
      </c>
      <c r="E34" s="16" t="str">
        <f>IF(ISBLANK(Timesheet!E39),"","Global "&amp;Timesheet!E39&amp;" Port Wise Export")</f>
        <v/>
      </c>
    </row>
    <row r="35" spans="1:5" x14ac:dyDescent="0.25">
      <c r="A35" s="12">
        <v>45474</v>
      </c>
      <c r="B35" s="16" t="str">
        <f>IF(ISBLANK(Timesheet!B40),"","Global "&amp;Timesheet!B40&amp;" Port Wise Export")</f>
        <v>Global Ammonia Port Wise Export</v>
      </c>
      <c r="C35" s="16" t="str">
        <f>IF(ISBLANK(Timesheet!C40),"","Global "&amp;Timesheet!C40&amp;" Port Wise Export")</f>
        <v/>
      </c>
      <c r="D35" s="16" t="str">
        <f>IF(ISBLANK(Timesheet!D40),"","Global "&amp;Timesheet!D40&amp;" Port Wise Export")</f>
        <v/>
      </c>
      <c r="E35" s="16" t="str">
        <f>IF(ISBLANK(Timesheet!E40),"","Global "&amp;Timesheet!E40&amp;" Port Wise Export")</f>
        <v/>
      </c>
    </row>
    <row r="36" spans="1:5" x14ac:dyDescent="0.25">
      <c r="A36" s="12">
        <v>45475</v>
      </c>
      <c r="B36" s="16" t="str">
        <f>IF(ISBLANK(Timesheet!B41),"","Global "&amp;Timesheet!B41&amp;" Port Wise Export")</f>
        <v>Global Phenol Port Wise Export</v>
      </c>
      <c r="C36" s="16" t="str">
        <f>IF(ISBLANK(Timesheet!C41),"","Global "&amp;Timesheet!C41&amp;" Port Wise Export")</f>
        <v>Global Toluene Diisocyanate (TDI) Port Wise Export</v>
      </c>
      <c r="D36" s="16" t="str">
        <f>IF(ISBLANK(Timesheet!D41),"","Global "&amp;Timesheet!D41&amp;" Port Wise Export")</f>
        <v/>
      </c>
      <c r="E36" s="16" t="str">
        <f>IF(ISBLANK(Timesheet!E41),"","Global "&amp;Timesheet!E41&amp;" Port Wise Export")</f>
        <v/>
      </c>
    </row>
    <row r="37" spans="1:5" x14ac:dyDescent="0.25">
      <c r="A37" s="12">
        <v>45476</v>
      </c>
      <c r="B37" s="16" t="str">
        <f>IF(ISBLANK(Timesheet!B42),"","Global "&amp;Timesheet!B42&amp;" Port Wise Export")</f>
        <v/>
      </c>
      <c r="C37" s="16" t="str">
        <f>IF(ISBLANK(Timesheet!C42),"","Global "&amp;Timesheet!C42&amp;" Port Wise Export")</f>
        <v/>
      </c>
      <c r="D37" s="16" t="str">
        <f>IF(ISBLANK(Timesheet!D42),"","Global "&amp;Timesheet!D42&amp;" Port Wise Export")</f>
        <v/>
      </c>
      <c r="E37" s="16" t="str">
        <f>IF(ISBLANK(Timesheet!E42),"","Global "&amp;Timesheet!E42&amp;" Port Wise Export")</f>
        <v/>
      </c>
    </row>
    <row r="38" spans="1:5" x14ac:dyDescent="0.25">
      <c r="A38" s="12">
        <v>45477</v>
      </c>
      <c r="B38" s="16" t="str">
        <f>IF(ISBLANK(Timesheet!B43),"","Global "&amp;Timesheet!B43&amp;" Port Wise Export")</f>
        <v>Global Acetic Acid Port Wise Export</v>
      </c>
      <c r="C38" s="16" t="str">
        <f>IF(ISBLANK(Timesheet!C43),"","Global "&amp;Timesheet!C43&amp;" Port Wise Export")</f>
        <v/>
      </c>
      <c r="D38" s="16" t="str">
        <f>IF(ISBLANK(Timesheet!D43),"","Global "&amp;Timesheet!D43&amp;" Port Wise Export")</f>
        <v/>
      </c>
      <c r="E38" s="16" t="str">
        <f>IF(ISBLANK(Timesheet!E43),"","Global "&amp;Timesheet!E43&amp;" Port Wise Export")</f>
        <v/>
      </c>
    </row>
    <row r="39" spans="1:5" x14ac:dyDescent="0.25">
      <c r="A39" s="12">
        <v>45478</v>
      </c>
      <c r="B39" s="16" t="str">
        <f>IF(ISBLANK(Timesheet!B44),"","Global "&amp;Timesheet!B44&amp;" Port Wise Export")</f>
        <v>Global Mono Ethylene Glycol (MEG) Port Wise Export</v>
      </c>
      <c r="C39" s="16" t="str">
        <f>IF(ISBLANK(Timesheet!C44),"","Global "&amp;Timesheet!C44&amp;" Port Wise Export")</f>
        <v/>
      </c>
      <c r="D39" s="16" t="str">
        <f>IF(ISBLANK(Timesheet!D44),"","Global "&amp;Timesheet!D44&amp;" Port Wise Export")</f>
        <v/>
      </c>
      <c r="E39" s="16" t="str">
        <f>IF(ISBLANK(Timesheet!E44),"","Global "&amp;Timesheet!E44&amp;" Port Wise Export")</f>
        <v/>
      </c>
    </row>
    <row r="40" spans="1:5" x14ac:dyDescent="0.25">
      <c r="A40" s="12">
        <v>45481</v>
      </c>
      <c r="B40" s="16" t="str">
        <f>IF(ISBLANK(Timesheet!B45),"","Global "&amp;Timesheet!B45&amp;" Port Wise Export")</f>
        <v>Global on leave Port Wise Export</v>
      </c>
      <c r="C40" s="16" t="str">
        <f>IF(ISBLANK(Timesheet!C45),"","Global "&amp;Timesheet!C45&amp;" Port Wise Export")</f>
        <v/>
      </c>
      <c r="D40" s="16" t="str">
        <f>IF(ISBLANK(Timesheet!D45),"","Global "&amp;Timesheet!D45&amp;" Port Wise Export")</f>
        <v/>
      </c>
      <c r="E40" s="16" t="str">
        <f>IF(ISBLANK(Timesheet!E45),"","Global "&amp;Timesheet!E45&amp;" Port Wise Export")</f>
        <v/>
      </c>
    </row>
    <row r="41" spans="1:5" x14ac:dyDescent="0.25">
      <c r="A41" s="12">
        <v>45482</v>
      </c>
      <c r="B41" s="16" t="str">
        <f>IF(ISBLANK(Timesheet!B46),"","Global "&amp;Timesheet!B46&amp;" Port Wise Export")</f>
        <v>Global Acetone Port Wise Export</v>
      </c>
      <c r="C41" s="16" t="str">
        <f>IF(ISBLANK(Timesheet!C46),"","Global "&amp;Timesheet!C46&amp;" Port Wise Export")</f>
        <v>Global Nitric Acid Port Wise Export</v>
      </c>
      <c r="D41" s="16" t="str">
        <f>IF(ISBLANK(Timesheet!D46),"","Global "&amp;Timesheet!D46&amp;" Port Wise Export")</f>
        <v/>
      </c>
      <c r="E41" s="16" t="str">
        <f>IF(ISBLANK(Timesheet!E46),"","Global "&amp;Timesheet!E46&amp;" Port Wise Export")</f>
        <v/>
      </c>
    </row>
    <row r="42" spans="1:5" x14ac:dyDescent="0.25">
      <c r="A42" s="12">
        <v>45483</v>
      </c>
      <c r="B42" s="16" t="str">
        <f>IF(ISBLANK(Timesheet!B47),"","Global "&amp;Timesheet!B47&amp;" Port Wise Export")</f>
        <v>Global Polyamide Port Wise Export</v>
      </c>
      <c r="C42" s="16" t="str">
        <f>IF(ISBLANK(Timesheet!C47),"","Global "&amp;Timesheet!C47&amp;" Port Wise Export")</f>
        <v/>
      </c>
      <c r="D42" s="16" t="str">
        <f>IF(ISBLANK(Timesheet!D47),"","Global "&amp;Timesheet!D47&amp;" Port Wise Export")</f>
        <v/>
      </c>
      <c r="E42" s="16" t="str">
        <f>IF(ISBLANK(Timesheet!E47),"","Global "&amp;Timesheet!E47&amp;" Port Wise Export")</f>
        <v/>
      </c>
    </row>
    <row r="43" spans="1:5" x14ac:dyDescent="0.25">
      <c r="A43" s="12">
        <v>45484</v>
      </c>
      <c r="B43" s="16" t="str">
        <f>IF(ISBLANK(Timesheet!B48),"","Global "&amp;Timesheet!B48&amp;" Port Wise Export")</f>
        <v>Global Soda Ash Port Wise Export</v>
      </c>
      <c r="C43" s="16" t="str">
        <f>IF(ISBLANK(Timesheet!C48),"","Global "&amp;Timesheet!C48&amp;" Port Wise Export")</f>
        <v/>
      </c>
      <c r="D43" s="16" t="str">
        <f>IF(ISBLANK(Timesheet!D48),"","Global "&amp;Timesheet!D48&amp;" Port Wise Export")</f>
        <v/>
      </c>
      <c r="E43" s="16" t="str">
        <f>IF(ISBLANK(Timesheet!E48),"","Global "&amp;Timesheet!E48&amp;" Port Wise Export")</f>
        <v/>
      </c>
    </row>
    <row r="44" spans="1:5" x14ac:dyDescent="0.25">
      <c r="A44" s="12">
        <v>45485</v>
      </c>
      <c r="B44" s="16" t="str">
        <f>IF(ISBLANK(Timesheet!B49),"","Global "&amp;Timesheet!B49&amp;" Port Wise Export")</f>
        <v>Global Mixed Xylene Port Wise Export</v>
      </c>
      <c r="C44" s="16" t="str">
        <f>IF(ISBLANK(Timesheet!C49),"","Global "&amp;Timesheet!C49&amp;" Port Wise Export")</f>
        <v>Global Styrene Copolymer Port Wise Export</v>
      </c>
      <c r="D44" s="16" t="str">
        <f>IF(ISBLANK(Timesheet!D49),"","Global "&amp;Timesheet!D49&amp;" Port Wise Export")</f>
        <v/>
      </c>
      <c r="E44" s="16" t="str">
        <f>IF(ISBLANK(Timesheet!E49),"","Global "&amp;Timesheet!E49&amp;" Port Wise Export")</f>
        <v/>
      </c>
    </row>
    <row r="45" spans="1:5" x14ac:dyDescent="0.25">
      <c r="A45" s="12">
        <v>45488</v>
      </c>
      <c r="B45" s="16" t="str">
        <f>IF(ISBLANK(Timesheet!B50),"","Global "&amp;Timesheet!B50&amp;" Port Wise Export")</f>
        <v>Global Sodium Sulphate Port Wise Export</v>
      </c>
      <c r="C45" s="16" t="str">
        <f>IF(ISBLANK(Timesheet!C50),"","Global "&amp;Timesheet!C50&amp;" Port Wise Export")</f>
        <v/>
      </c>
      <c r="D45" s="16" t="str">
        <f>IF(ISBLANK(Timesheet!D50),"","Global "&amp;Timesheet!D50&amp;" Port Wise Export")</f>
        <v/>
      </c>
    </row>
    <row r="46" spans="1:5" x14ac:dyDescent="0.25">
      <c r="A46" s="12">
        <v>45489</v>
      </c>
      <c r="B46" s="16" t="str">
        <f>IF(ISBLANK(Timesheet!B51),"","Global "&amp;Timesheet!B51&amp;" Port Wise Export")</f>
        <v>Global Acrylic Acid Port Wise Export</v>
      </c>
      <c r="C46" s="16" t="str">
        <f>IF(ISBLANK(Timesheet!C51),"","Global "&amp;Timesheet!C51&amp;" Port Wise Export")</f>
        <v>Global Fluoroelastomer Port Wise Export</v>
      </c>
      <c r="D46" s="16" t="str">
        <f>IF(ISBLANK(Timesheet!D51),"","Global "&amp;Timesheet!D51&amp;" Port Wise Export")</f>
        <v/>
      </c>
    </row>
    <row r="47" spans="1:5" x14ac:dyDescent="0.25">
      <c r="A47" s="12">
        <v>45490</v>
      </c>
      <c r="B47" s="16" t="str">
        <f>IF(ISBLANK(Timesheet!B52),"","Global "&amp;Timesheet!B52&amp;" Port Wise Export")</f>
        <v>Global Bisphenol A Port Wise Export</v>
      </c>
      <c r="C47" s="16" t="str">
        <f>IF(ISBLANK(Timesheet!C52),"","Global "&amp;Timesheet!C52&amp;" Port Wise Export")</f>
        <v>Global Caustic Potash Port Wise Export</v>
      </c>
      <c r="D47" s="16" t="str">
        <f>IF(ISBLANK(Timesheet!D52),"","Global "&amp;Timesheet!D52&amp;" Port Wise Export")</f>
        <v>Global Dimethyl Carbonate Port Wise Export</v>
      </c>
    </row>
    <row r="48" spans="1:5" x14ac:dyDescent="0.25">
      <c r="A48" s="12">
        <v>45491</v>
      </c>
      <c r="B48" s="16" t="str">
        <f>IF(ISBLANK(Timesheet!B53),"","Global "&amp;Timesheet!B53&amp;" Port Wise Export")</f>
        <v>Global Liquid Chlorine Port Wise Export</v>
      </c>
      <c r="C48" s="16" t="str">
        <f>IF(ISBLANK(Timesheet!C53),"","Global "&amp;Timesheet!C53&amp;" Port Wise Export")</f>
        <v>Global Sulphur Port Wise Export</v>
      </c>
      <c r="D48" s="16" t="str">
        <f>IF(ISBLANK(Timesheet!D53),"","Global "&amp;Timesheet!D53&amp;" Port Wise Export")</f>
        <v/>
      </c>
    </row>
    <row r="49" spans="1:8" x14ac:dyDescent="0.25">
      <c r="A49" s="12">
        <v>45492</v>
      </c>
      <c r="B49" s="16" t="str">
        <f>IF(ISBLANK(Timesheet!B54),"","Global "&amp;Timesheet!B54&amp;" Port Wise Export")</f>
        <v>Global Ethylene Vinyl Acetate (EVA) Port Wise Export</v>
      </c>
      <c r="C49" s="16" t="str">
        <f>IF(ISBLANK(Timesheet!C54),"","Global "&amp;Timesheet!C54&amp;" Port Wise Export")</f>
        <v/>
      </c>
      <c r="D49" s="16" t="str">
        <f>IF(ISBLANK(Timesheet!D54),"","Global "&amp;Timesheet!D54&amp;" Port Wise Export")</f>
        <v/>
      </c>
    </row>
    <row r="50" spans="1:8" x14ac:dyDescent="0.25">
      <c r="A50" s="12">
        <v>45495</v>
      </c>
      <c r="B50" s="16" t="str">
        <f>IF(ISBLANK(Timesheet!B55),"","Global "&amp;Timesheet!B55&amp;" Port Wise Export")</f>
        <v/>
      </c>
      <c r="C50" s="16" t="str">
        <f>IF(ISBLANK(Timesheet!C55),"","Global "&amp;Timesheet!C55&amp;" Port Wise Export")</f>
        <v/>
      </c>
      <c r="D50" s="16" t="str">
        <f>IF(ISBLANK(Timesheet!D55),"","Global "&amp;Timesheet!D55&amp;" Port Wise Export")</f>
        <v/>
      </c>
    </row>
    <row r="51" spans="1:8" x14ac:dyDescent="0.25">
      <c r="A51" s="12">
        <v>45496</v>
      </c>
      <c r="B51" s="16" t="str">
        <f>IF(ISBLANK(Timesheet!B56),"","Global "&amp;Timesheet!B56&amp;" Port Wise Export")</f>
        <v>Global Epoxy Resin Port Wise Export</v>
      </c>
      <c r="C51" s="16" t="str">
        <f>IF(ISBLANK(Timesheet!C56),"","Global "&amp;Timesheet!C56&amp;" Port Wise Export")</f>
        <v/>
      </c>
      <c r="D51" s="16" t="str">
        <f>IF(ISBLANK(Timesheet!D56),"","Global "&amp;Timesheet!D56&amp;" Port Wise Export")</f>
        <v/>
      </c>
    </row>
    <row r="52" spans="1:8" x14ac:dyDescent="0.25">
      <c r="A52" s="12">
        <v>45497</v>
      </c>
      <c r="B52" s="16" t="str">
        <f>IF(ISBLANK(Timesheet!B57),"","Global "&amp;Timesheet!B57&amp;" Port Wise Export")</f>
        <v/>
      </c>
      <c r="C52" s="16" t="str">
        <f>IF(ISBLANK(Timesheet!C57),"","Global "&amp;Timesheet!C57&amp;" Port Wise Export")</f>
        <v/>
      </c>
      <c r="D52" s="16" t="str">
        <f>IF(ISBLANK(Timesheet!D57),"","Global "&amp;Timesheet!D57&amp;" Port Wise Export")</f>
        <v/>
      </c>
    </row>
    <row r="53" spans="1:8" x14ac:dyDescent="0.25">
      <c r="A53" s="12">
        <v>45498</v>
      </c>
      <c r="B53" s="16" t="str">
        <f>IF(ISBLANK(Timesheet!B58),"","Global "&amp;Timesheet!B58&amp;" Port Wise Export")</f>
        <v>Global EPDM Rubber Port Wise Export</v>
      </c>
      <c r="C53" s="16" t="str">
        <f>IF(ISBLANK(Timesheet!C58),"","Global "&amp;Timesheet!C58&amp;" Port Wise Export")</f>
        <v/>
      </c>
      <c r="D53" s="16" t="str">
        <f>IF(ISBLANK(Timesheet!D58),"","Global "&amp;Timesheet!D58&amp;" Port Wise Export")</f>
        <v/>
      </c>
    </row>
    <row r="54" spans="1:8" x14ac:dyDescent="0.25">
      <c r="A54" s="12">
        <v>45499</v>
      </c>
      <c r="B54" s="16" t="str">
        <f>IF(ISBLANK(Timesheet!B59),"","Global "&amp;Timesheet!B59&amp;" Port Wise Export")</f>
        <v>Global C10 Solvent Port Wise Export</v>
      </c>
      <c r="C54" s="16" t="str">
        <f>IF(ISBLANK(Timesheet!C59),"","Global "&amp;Timesheet!C59&amp;" Port Wise Export")</f>
        <v>Global C9 Solvent Port Wise Export</v>
      </c>
      <c r="D54" s="16" t="str">
        <f>IF(ISBLANK(Timesheet!D59),"","Global "&amp;Timesheet!D59&amp;" Port Wise Export")</f>
        <v>Global Iso Butyric Acid Port Wise Export</v>
      </c>
      <c r="E54" s="16" t="str">
        <f>IF(ISBLANK(Timesheet!E59),"","Global "&amp;Timesheet!E59&amp;" Port Wise Export")</f>
        <v>Global Phosphorus Pentachloride Port Wise Export</v>
      </c>
      <c r="F54" s="16" t="str">
        <f>IF(ISBLANK(Timesheet!F59),"","Global "&amp;Timesheet!F59&amp;" Port Wise Export")</f>
        <v>Global 2-Ethylhexyl Nitrate Port Wise Export</v>
      </c>
      <c r="G54" s="16" t="str">
        <f>IF(ISBLANK(Timesheet!G59),"","Global "&amp;Timesheet!G59&amp;" Port Wise Export")</f>
        <v>Global Erucic Acid Port Wise Export</v>
      </c>
      <c r="H54" s="16" t="str">
        <f>IF(ISBLANK(Timesheet!H59),"","Global "&amp;Timesheet!H59&amp;" Port Wise Export")</f>
        <v>Global Methyl Isobutyl Ketone (MIBK) Port Wise Export</v>
      </c>
    </row>
    <row r="55" spans="1:8" x14ac:dyDescent="0.25">
      <c r="A55" s="12">
        <v>45502</v>
      </c>
      <c r="B55" s="16" t="str">
        <f>IF(ISBLANK(Timesheet!B60),"","Global "&amp;Timesheet!B60&amp;" Port Wise Export")</f>
        <v>Global Benzyl Chloride Port Wise Export</v>
      </c>
      <c r="C55" s="16" t="str">
        <f>IF(ISBLANK(Timesheet!C60),"","Global "&amp;Timesheet!C60&amp;" Port Wise Export")</f>
        <v>Global Methylene Dichloride Port Wise Export</v>
      </c>
      <c r="D55" s="16" t="str">
        <f>IF(ISBLANK(Timesheet!D60),"","Global "&amp;Timesheet!D60&amp;" Port Wise Export")</f>
        <v>Global Sulphuric Acid Port Wise Export</v>
      </c>
      <c r="E55" s="16" t="str">
        <f>IF(ISBLANK(Timesheet!E60),"","Global "&amp;Timesheet!E60&amp;" Port Wise Export")</f>
        <v>Global Linear Alkylbenzene Sulfonic Acid Port Wise Export</v>
      </c>
      <c r="F55" s="16" t="str">
        <f>IF(ISBLANK(Timesheet!F60),"","Global "&amp;Timesheet!F60&amp;" Port Wise Export")</f>
        <v/>
      </c>
      <c r="G55" s="16" t="str">
        <f>IF(ISBLANK(Timesheet!G60),"","Global "&amp;Timesheet!G60&amp;" Port Wise Export")</f>
        <v/>
      </c>
      <c r="H55" s="16" t="str">
        <f>IF(ISBLANK(Timesheet!H60),"","Global "&amp;Timesheet!H60&amp;" Port Wise Export")</f>
        <v/>
      </c>
    </row>
    <row r="56" spans="1:8" x14ac:dyDescent="0.25">
      <c r="A56" s="12">
        <v>45503</v>
      </c>
      <c r="B56" s="16" t="str">
        <f>IF(ISBLANK(Timesheet!B61),"","Global "&amp;Timesheet!B61&amp;" Port Wise Export")</f>
        <v>Global Ethylene Carbonate (EC) Port Wise Export</v>
      </c>
      <c r="C56" s="16" t="str">
        <f>IF(ISBLANK(Timesheet!C61),"","Global "&amp;Timesheet!C61&amp;" Port Wise Export")</f>
        <v>Global Linear Alkyl Benzene (LAB) Port Wise Export</v>
      </c>
      <c r="D56" s="16" t="str">
        <f>IF(ISBLANK(Timesheet!D61),"","Global "&amp;Timesheet!D61&amp;" Port Wise Export")</f>
        <v/>
      </c>
      <c r="E56" s="16" t="str">
        <f>IF(ISBLANK(Timesheet!E61),"","Global "&amp;Timesheet!E61&amp;" Port Wise Export")</f>
        <v/>
      </c>
      <c r="F56" s="16" t="str">
        <f>IF(ISBLANK(Timesheet!F61),"","Global "&amp;Timesheet!F61&amp;" Port Wise Export")</f>
        <v/>
      </c>
      <c r="G56" s="16" t="str">
        <f>IF(ISBLANK(Timesheet!G61),"","Global "&amp;Timesheet!G61&amp;" Port Wise Export")</f>
        <v/>
      </c>
      <c r="H56" s="16" t="str">
        <f>IF(ISBLANK(Timesheet!H61),"","Global "&amp;Timesheet!H61&amp;" Port Wise Export")</f>
        <v/>
      </c>
    </row>
    <row r="57" spans="1:8" x14ac:dyDescent="0.25">
      <c r="A57" s="12">
        <v>45504</v>
      </c>
      <c r="B57" s="16" t="str">
        <f>IF(ISBLANK(Timesheet!B62),"","Global "&amp;Timesheet!B62&amp;" Port Wise Export")</f>
        <v>Global Linear Alkylbenzene Sulfonic Acid Port Wise Export</v>
      </c>
      <c r="C57" s="16" t="str">
        <f>IF(ISBLANK(Timesheet!C62),"","Global "&amp;Timesheet!C62&amp;" Port Wise Export")</f>
        <v>Global NitroBenzene Port Wise Export</v>
      </c>
      <c r="D57" s="16" t="str">
        <f>IF(ISBLANK(Timesheet!D62),"","Global "&amp;Timesheet!D62&amp;" Port Wise Export")</f>
        <v/>
      </c>
      <c r="E57" s="16" t="str">
        <f>IF(ISBLANK(Timesheet!E62),"","Global "&amp;Timesheet!E62&amp;" Port Wise Export")</f>
        <v/>
      </c>
      <c r="F57" s="16" t="str">
        <f>IF(ISBLANK(Timesheet!F62),"","Global "&amp;Timesheet!F62&amp;" Port Wise Export")</f>
        <v/>
      </c>
      <c r="G57" s="16" t="str">
        <f>IF(ISBLANK(Timesheet!G62),"","Global "&amp;Timesheet!G62&amp;" Port Wise Export")</f>
        <v/>
      </c>
      <c r="H57" s="16" t="str">
        <f>IF(ISBLANK(Timesheet!H62),"","Global "&amp;Timesheet!H62&amp;" Port Wise Export")</f>
        <v/>
      </c>
    </row>
    <row r="58" spans="1:8" x14ac:dyDescent="0.25">
      <c r="A58" s="12">
        <v>45505</v>
      </c>
      <c r="B58" s="16" t="str">
        <f>IF(ISBLANK(Timesheet!B63),"","Global "&amp;Timesheet!B63&amp;" Port Wise Export")</f>
        <v>Global Sodium Lauryl Ether Sulphate (SLES) Port Wise Export</v>
      </c>
      <c r="C58" s="16" t="str">
        <f>IF(ISBLANK(Timesheet!C63),"","Global "&amp;Timesheet!C63&amp;" Port Wise Export")</f>
        <v/>
      </c>
      <c r="D58" s="16" t="str">
        <f>IF(ISBLANK(Timesheet!D63),"","Global "&amp;Timesheet!D63&amp;" Port Wise Export")</f>
        <v/>
      </c>
      <c r="E58" s="16" t="str">
        <f>IF(ISBLANK(Timesheet!E63),"","Global "&amp;Timesheet!E63&amp;" Port Wise Export")</f>
        <v/>
      </c>
      <c r="F58" s="16" t="str">
        <f>IF(ISBLANK(Timesheet!F63),"","Global "&amp;Timesheet!F63&amp;" Port Wise Export")</f>
        <v/>
      </c>
      <c r="G58" s="16" t="str">
        <f>IF(ISBLANK(Timesheet!G63),"","Global "&amp;Timesheet!G63&amp;" Port Wise Export")</f>
        <v/>
      </c>
      <c r="H58" s="16" t="str">
        <f>IF(ISBLANK(Timesheet!H63),"","Global "&amp;Timesheet!H63&amp;" Port Wise Export")</f>
        <v/>
      </c>
    </row>
    <row r="59" spans="1:8" x14ac:dyDescent="0.25">
      <c r="A59" s="12">
        <v>45506</v>
      </c>
      <c r="B59" s="16" t="str">
        <f>IF(ISBLANK(Timesheet!B64),"","Global "&amp;Timesheet!B64&amp;" Port Wise Export")</f>
        <v/>
      </c>
      <c r="C59" s="16" t="str">
        <f>IF(ISBLANK(Timesheet!C64),"","Global "&amp;Timesheet!C64&amp;" Port Wise Export")</f>
        <v/>
      </c>
      <c r="D59" s="16" t="str">
        <f>IF(ISBLANK(Timesheet!D64),"","Global "&amp;Timesheet!D64&amp;" Port Wise Export")</f>
        <v/>
      </c>
      <c r="E59" s="16" t="str">
        <f>IF(ISBLANK(Timesheet!E64),"","Global "&amp;Timesheet!E64&amp;" Port Wise Export")</f>
        <v/>
      </c>
      <c r="F59" s="16" t="str">
        <f>IF(ISBLANK(Timesheet!F64),"","Global "&amp;Timesheet!F64&amp;" Port Wise Export")</f>
        <v/>
      </c>
      <c r="G59" s="16" t="str">
        <f>IF(ISBLANK(Timesheet!G64),"","Global "&amp;Timesheet!G64&amp;" Port Wise Export")</f>
        <v/>
      </c>
      <c r="H59" s="16" t="str">
        <f>IF(ISBLANK(Timesheet!H64),"","Global "&amp;Timesheet!H64&amp;" Port Wise Export")</f>
        <v/>
      </c>
    </row>
    <row r="60" spans="1:8" x14ac:dyDescent="0.25">
      <c r="A60" s="12">
        <v>45509</v>
      </c>
      <c r="B60" s="16" t="str">
        <f>IF(ISBLANK(Timesheet!B65),"","Global "&amp;Timesheet!B65&amp;" Port Wise Export")</f>
        <v>Global Phosphoric Acid Port Wise Export</v>
      </c>
      <c r="C60" s="16" t="str">
        <f>IF(ISBLANK(Timesheet!C65),"","Global "&amp;Timesheet!C65&amp;" Port Wise Export")</f>
        <v/>
      </c>
      <c r="D60" s="16" t="str">
        <f>IF(ISBLANK(Timesheet!D65),"","Global "&amp;Timesheet!D65&amp;" Port Wise Export")</f>
        <v/>
      </c>
      <c r="E60" s="16" t="str">
        <f>IF(ISBLANK(Timesheet!E65),"","Global "&amp;Timesheet!E65&amp;" Port Wise Export")</f>
        <v/>
      </c>
    </row>
    <row r="61" spans="1:8" x14ac:dyDescent="0.25">
      <c r="A61" s="12">
        <v>45510</v>
      </c>
      <c r="B61" s="16" t="str">
        <f>IF(ISBLANK(Timesheet!B66),"","Global "&amp;Timesheet!B66&amp;" Port Wise Export")</f>
        <v/>
      </c>
      <c r="C61" s="16" t="str">
        <f>IF(ISBLANK(Timesheet!D66),"","Global "&amp;Timesheet!D66&amp;" Port Wise Export")</f>
        <v/>
      </c>
      <c r="E61" s="16" t="str">
        <f>IF(ISBLANK(Timesheet!E66),"","Global "&amp;Timesheet!E66&amp;" Port Wise Export")</f>
        <v/>
      </c>
    </row>
    <row r="62" spans="1:8" x14ac:dyDescent="0.25">
      <c r="A62" s="12">
        <v>45511</v>
      </c>
      <c r="B62" s="16" t="str">
        <f>IF(ISBLANK(Timesheet!B67),"","Global "&amp;Timesheet!B67&amp;" Port Wise Export")</f>
        <v/>
      </c>
      <c r="C62" s="21"/>
      <c r="D62" s="16" t="str">
        <f>IF(ISBLANK(Timesheet!D67),"","Global "&amp;Timesheet!D67&amp;" Port Wise Export")</f>
        <v/>
      </c>
      <c r="E62" s="16" t="str">
        <f>IF(ISBLANK(Timesheet!E67),"","Global "&amp;Timesheet!E67&amp;" Port Wise Export")</f>
        <v/>
      </c>
    </row>
    <row r="63" spans="1:8" x14ac:dyDescent="0.25">
      <c r="A63" s="12">
        <v>45512</v>
      </c>
      <c r="B63" s="16" t="str">
        <f>IF(ISBLANK(Timesheet!B68),"","Global "&amp;Timesheet!B68&amp;" Port Wise Export")</f>
        <v>Global Caustic Soda Port Wise Export</v>
      </c>
      <c r="C63" s="16" t="str">
        <f>IF(ISBLANK(Timesheet!C68),"","Global "&amp;Timesheet!C68&amp;" Port Wise Export")</f>
        <v/>
      </c>
      <c r="D63" s="16" t="str">
        <f>IF(ISBLANK(Timesheet!D68),"","Global "&amp;Timesheet!D68&amp;" Port Wise Export")</f>
        <v/>
      </c>
      <c r="E63" s="16" t="str">
        <f>IF(ISBLANK(Timesheet!E68),"","Global "&amp;Timesheet!E68&amp;" Port Wise Export")</f>
        <v/>
      </c>
    </row>
    <row r="64" spans="1:8" x14ac:dyDescent="0.25">
      <c r="A64" s="12">
        <v>45513</v>
      </c>
      <c r="B64" s="16" t="str">
        <f>IF(ISBLANK(Timesheet!B69),"","Global "&amp;Timesheet!B69&amp;" Port Wise Export")</f>
        <v>Global Calcium Carbonate Port Wise Export</v>
      </c>
      <c r="C64" s="16" t="str">
        <f>IF(ISBLANK(Timesheet!C69),"","Global "&amp;Timesheet!C69&amp;" Port Wise Export")</f>
        <v/>
      </c>
      <c r="D64" s="16" t="str">
        <f>IF(ISBLANK(Timesheet!D69),"","Global "&amp;Timesheet!D69&amp;" Port Wise Export")</f>
        <v/>
      </c>
      <c r="E64" s="16" t="str">
        <f>IF(ISBLANK(Timesheet!E69),"","Global "&amp;Timesheet!E69&amp;" Port Wise Export")</f>
        <v/>
      </c>
      <c r="F64" s="16" t="str">
        <f>IF(ISBLANK(Timesheet!F69),"","Global "&amp;Timesheet!F69&amp;" Port Wise Export")</f>
        <v/>
      </c>
    </row>
    <row r="65" spans="1:6" x14ac:dyDescent="0.25">
      <c r="A65" s="12">
        <v>45516</v>
      </c>
      <c r="B65" s="16" t="str">
        <f>IF(ISBLANK(Timesheet!B70),"","Global "&amp;Timesheet!B70&amp;" Port Wise Export")</f>
        <v>Global Sodium Sulphate Port Wise Export</v>
      </c>
      <c r="C65" s="16" t="str">
        <f>IF(ISBLANK(Timesheet!C70),"","Global "&amp;Timesheet!C70&amp;" Port Wise Export")</f>
        <v>Global Aniline Port Wise Export</v>
      </c>
      <c r="D65" s="16" t="str">
        <f>IF(ISBLANK(Timesheet!D70),"","Global "&amp;Timesheet!D70&amp;" Port Wise Export")</f>
        <v>Global Polyisobutylene Port Wise Export</v>
      </c>
      <c r="E65" s="16" t="str">
        <f>IF(ISBLANK(Timesheet!E70),"","Global "&amp;Timesheet!E70&amp;" Port Wise Export")</f>
        <v/>
      </c>
      <c r="F65" s="16" t="str">
        <f>IF(ISBLANK(Timesheet!F70),"","Global "&amp;Timesheet!F70&amp;" Port Wise Export")</f>
        <v/>
      </c>
    </row>
    <row r="66" spans="1:6" x14ac:dyDescent="0.25">
      <c r="A66" s="12">
        <v>45517</v>
      </c>
      <c r="B66" s="16" t="str">
        <f>IF(ISBLANK(Timesheet!B71),"","Global "&amp;Timesheet!B71&amp;" Port Wise Export")</f>
        <v>Global Methionine Port Wise Export</v>
      </c>
      <c r="C66" s="16" t="str">
        <f>IF(ISBLANK(Timesheet!C71),"","Global "&amp;Timesheet!C71&amp;" Port Wise Export")</f>
        <v>Global Neoprene Rubber Port Wise Export</v>
      </c>
      <c r="D66" s="16" t="str">
        <f>IF(ISBLANK(Timesheet!D71),"","Global "&amp;Timesheet!D71&amp;" Port Wise Export")</f>
        <v/>
      </c>
      <c r="E66" s="16" t="str">
        <f>IF(ISBLANK(Timesheet!E71),"","Global "&amp;Timesheet!E71&amp;" Port Wise Export")</f>
        <v/>
      </c>
      <c r="F66" s="16" t="str">
        <f>IF(ISBLANK(Timesheet!F71),"","Global "&amp;Timesheet!F71&amp;" Port Wise Export")</f>
        <v/>
      </c>
    </row>
    <row r="67" spans="1:6" x14ac:dyDescent="0.25">
      <c r="A67" s="12">
        <v>45518</v>
      </c>
      <c r="B67" s="16" t="str">
        <f>IF(ISBLANK(Timesheet!B72),"","Global "&amp;Timesheet!B72&amp;" Port Wise Export")</f>
        <v>Global Polyethylene Terephthalate (PET) Port Wise Export</v>
      </c>
      <c r="C67" s="16" t="str">
        <f>IF(ISBLANK(Timesheet!C72),"","Global "&amp;Timesheet!C72&amp;" Port Wise Export")</f>
        <v/>
      </c>
      <c r="D67" s="16" t="str">
        <f>IF(ISBLANK(Timesheet!D72),"","Global "&amp;Timesheet!D72&amp;" Port Wise Export")</f>
        <v/>
      </c>
    </row>
    <row r="68" spans="1:6" x14ac:dyDescent="0.25">
      <c r="A68" s="12">
        <v>45519</v>
      </c>
      <c r="B68" s="22" t="s">
        <v>174</v>
      </c>
      <c r="C68" s="22" t="s">
        <v>174</v>
      </c>
      <c r="D68" s="22" t="s">
        <v>174</v>
      </c>
    </row>
    <row r="69" spans="1:6" x14ac:dyDescent="0.25">
      <c r="A69" s="12">
        <v>45520</v>
      </c>
      <c r="B69" s="16" t="str">
        <f>IF(ISBLANK(Timesheet!B74),"","Global "&amp;Timesheet!B74&amp;" Port Wise Export")</f>
        <v>Global Lysine Hydrochloride Port Wise Export</v>
      </c>
      <c r="C69" s="16" t="str">
        <f>IF(ISBLANK(Timesheet!C74),"","Global "&amp;Timesheet!C74&amp;" Port Wise Export")</f>
        <v>Global Natural Rubber (TSR) Port Wise Export</v>
      </c>
      <c r="D69" s="16" t="str">
        <f>IF(ISBLANK(Timesheet!D74),"","Global "&amp;Timesheet!D74&amp;" Port Wise Export")</f>
        <v>Global 2-Ethylhexanol Port Wise Export</v>
      </c>
      <c r="E69" s="16" t="str">
        <f>IF(ISBLANK(Timesheet!E74),"","Global "&amp;Timesheet!E74&amp;" Port Wise Export")</f>
        <v/>
      </c>
    </row>
    <row r="70" spans="1:6" x14ac:dyDescent="0.25">
      <c r="A70" s="12">
        <v>45523</v>
      </c>
      <c r="B70" s="22" t="s">
        <v>183</v>
      </c>
      <c r="C70" s="22" t="s">
        <v>183</v>
      </c>
      <c r="D70" s="22" t="s">
        <v>183</v>
      </c>
      <c r="E70" s="16" t="str">
        <f>IF(ISBLANK(Timesheet!E75),"","Global "&amp;Timesheet!E75&amp;" Port Wise Export")</f>
        <v/>
      </c>
    </row>
    <row r="71" spans="1:6" x14ac:dyDescent="0.25">
      <c r="A71" s="12">
        <v>45524</v>
      </c>
      <c r="B71" s="16" t="str">
        <f>IF(ISBLANK(Timesheet!B76),"","Global "&amp;Timesheet!B76&amp;" Port Wise Export")</f>
        <v>Global Benzoic Acid Port Wise Export</v>
      </c>
      <c r="C71" s="16" t="str">
        <f>IF(ISBLANK(Timesheet!C76),"","Global "&amp;Timesheet!C76&amp;" Port Wise Export")</f>
        <v>Global Benzaldehyde Port Wise Export</v>
      </c>
      <c r="D71" s="16" t="str">
        <f>IF(ISBLANK(Timesheet!D76),"","Global "&amp;Timesheet!D76&amp;" Port Wise Export")</f>
        <v/>
      </c>
      <c r="E71" s="16" t="str">
        <f>IF(ISBLANK(Timesheet!E76),"","Global "&amp;Timesheet!E76&amp;" Port Wise Export")</f>
        <v/>
      </c>
    </row>
    <row r="72" spans="1:6" x14ac:dyDescent="0.25">
      <c r="A72" s="12">
        <v>45525</v>
      </c>
      <c r="B72" s="16" t="str">
        <f>IF(ISBLANK(Timesheet!B77),"","Global "&amp;Timesheet!B77&amp;" Port Wise Export")</f>
        <v>Global Vinyl Acetate Monomer (VAM) Port Wise Export</v>
      </c>
      <c r="C72" s="16" t="str">
        <f>IF(ISBLANK(Timesheet!C77),"","Global "&amp;Timesheet!C77&amp;" Port Wise Export")</f>
        <v>Global Toluene Diisocyanate (TDI) Port Wise Export</v>
      </c>
      <c r="D72" s="16" t="str">
        <f>IF(ISBLANK(Timesheet!D77),"","Global "&amp;Timesheet!D77&amp;" Port Wise Export")</f>
        <v/>
      </c>
      <c r="E72" s="16" t="str">
        <f>IF(ISBLANK(Timesheet!E77),"","Global "&amp;Timesheet!E77&amp;" Port Wise Export")</f>
        <v/>
      </c>
    </row>
    <row r="73" spans="1:6" x14ac:dyDescent="0.25">
      <c r="A73" s="12">
        <v>45526</v>
      </c>
      <c r="B73" s="23" t="str">
        <f>IF(ISBLANK(Timesheet!B78),"","Global "&amp;Timesheet!B78&amp;" Port Wise Export")</f>
        <v/>
      </c>
      <c r="C73" s="23" t="str">
        <f>IF(ISBLANK(Timesheet!C78),"","Global "&amp;Timesheet!C78&amp;" Port Wise Export")</f>
        <v/>
      </c>
      <c r="D73" s="23" t="str">
        <f>IF(ISBLANK(Timesheet!D78),"","Global "&amp;Timesheet!D78&amp;" Port Wise Export")</f>
        <v/>
      </c>
      <c r="E73" s="16" t="str">
        <f>IF(ISBLANK(Timesheet!E78),"","Global "&amp;Timesheet!E78&amp;" Port Wise Export")</f>
        <v/>
      </c>
    </row>
    <row r="74" spans="1:6" x14ac:dyDescent="0.25">
      <c r="A74" s="12">
        <v>45527</v>
      </c>
      <c r="B74" s="16" t="str">
        <f>IF(ISBLANK(Timesheet!B79),"","Global "&amp;Timesheet!B79&amp;" Port Wise Export")</f>
        <v>Global Titanium Dioxide Port Wise Export</v>
      </c>
      <c r="C74" s="16" t="str">
        <f>IF(ISBLANK(Timesheet!C79),"","Global "&amp;Timesheet!C79&amp;" Port Wise Export")</f>
        <v/>
      </c>
      <c r="D74" s="16" t="str">
        <f>IF(ISBLANK(Timesheet!D79),"","Global "&amp;Timesheet!D79&amp;" Port Wise Export")</f>
        <v/>
      </c>
      <c r="E74" s="16" t="str">
        <f>IF(ISBLANK(Timesheet!E79),"","Global "&amp;Timesheet!E79&amp;" Port Wise Export")</f>
        <v/>
      </c>
    </row>
    <row r="75" spans="1:6" x14ac:dyDescent="0.25">
      <c r="A75" s="12">
        <v>45530</v>
      </c>
      <c r="B75" s="16" t="str">
        <f>IF(ISBLANK(Timesheet!B80),"","Global "&amp;Timesheet!B80&amp;" Port Wise Export")</f>
        <v>Global Ammonia Port Wise Export</v>
      </c>
      <c r="C75" s="16" t="str">
        <f>IF(ISBLANK(Timesheet!C80),"","Global "&amp;Timesheet!C80&amp;" Port Wise Export")</f>
        <v>Global Phenol Port Wise Export</v>
      </c>
      <c r="D75" s="16" t="str">
        <f>IF(ISBLANK(Timesheet!D80),"","Global "&amp;Timesheet!D80&amp;" Port Wise Export")</f>
        <v/>
      </c>
    </row>
    <row r="76" spans="1:6" x14ac:dyDescent="0.25">
      <c r="A76" s="12">
        <v>45531</v>
      </c>
      <c r="B76" s="16" t="str">
        <f>IF(ISBLANK(Timesheet!B81),"","Global "&amp;Timesheet!B81&amp;" Port Wise Export")</f>
        <v>Global Acetic Acid Port Wise Export</v>
      </c>
      <c r="C76" s="16" t="str">
        <f>IF(ISBLANK(Timesheet!C81),"","Global "&amp;Timesheet!C81&amp;" Port Wise Export")</f>
        <v/>
      </c>
      <c r="D76" s="16" t="str">
        <f>IF(ISBLANK(Timesheet!D81),"","Global "&amp;Timesheet!D81&amp;" Port Wise Export")</f>
        <v/>
      </c>
    </row>
    <row r="77" spans="1:6" x14ac:dyDescent="0.25">
      <c r="A77" s="12">
        <v>45532</v>
      </c>
      <c r="B77" s="16" t="str">
        <f>IF(ISBLANK(Timesheet!B82),"","Global "&amp;Timesheet!B82&amp;" Port Wise Export")</f>
        <v>Global Nitric Acid Port Wise Export</v>
      </c>
      <c r="C77" s="16" t="str">
        <f>IF(ISBLANK(Timesheet!C82),"","Global "&amp;Timesheet!C82&amp;" Port Wise Export")</f>
        <v>Global Propylene Oxide Port Wise Export</v>
      </c>
      <c r="D77" s="16" t="str">
        <f>IF(ISBLANK(Timesheet!D82),"","Global "&amp;Timesheet!D82&amp;" Port Wise Export")</f>
        <v/>
      </c>
    </row>
    <row r="78" spans="1:6" x14ac:dyDescent="0.25">
      <c r="A78" s="12">
        <v>45533</v>
      </c>
      <c r="B78" s="23" t="str">
        <f>IF(ISBLANK(Timesheet!B83),"","Global "&amp;Timesheet!B83&amp;" Port Wise Export")</f>
        <v>Global Polyol Port Wise Export</v>
      </c>
      <c r="C78" s="23" t="str">
        <f>IF(ISBLANK(Timesheet!C83),"","Global "&amp;Timesheet!C83&amp;" Port Wise Export")</f>
        <v/>
      </c>
      <c r="D78" s="23" t="str">
        <f>IF(ISBLANK(Timesheet!D83),"","Global "&amp;Timesheet!D83&amp;" Port Wise Export")</f>
        <v/>
      </c>
    </row>
    <row r="79" spans="1:6" x14ac:dyDescent="0.25">
      <c r="A79" s="12">
        <v>45534</v>
      </c>
      <c r="B79" s="16" t="str">
        <f>IF(ISBLANK(Timesheet!B84),"","Global "&amp;Timesheet!B84&amp;" Port Wise Export")</f>
        <v>Global Polyol Port Wise Export</v>
      </c>
      <c r="C79" s="16" t="str">
        <f>IF(ISBLANK(Timesheet!C84),"","Global "&amp;Timesheet!C84&amp;" Port Wise Export")</f>
        <v/>
      </c>
      <c r="D79" s="16" t="str">
        <f>IF(ISBLANK(Timesheet!D84),"","Global "&amp;Timesheet!D84&amp;" Port Wise Export")</f>
        <v/>
      </c>
    </row>
    <row r="80" spans="1:6" x14ac:dyDescent="0.25">
      <c r="A80" s="12">
        <v>45537</v>
      </c>
      <c r="B80" s="16" t="str">
        <f>IF(ISBLANK(Timesheet!B85),"","Global "&amp;Timesheet!B85&amp;" Port Wise Export")</f>
        <v>Global Styrene Port Wise Export</v>
      </c>
      <c r="C80" s="16" t="str">
        <f>IF(ISBLANK(Timesheet!C85),"","Global "&amp;Timesheet!C85&amp;" Port Wise Export")</f>
        <v>Global Raffinate Port Wise Export</v>
      </c>
      <c r="D80" s="16" t="str">
        <f>IF(ISBLANK(Timesheet!D85),"","Global "&amp;Timesheet!D85&amp;" Port Wise Export")</f>
        <v>Global Tall Oil Rosin Port Wise Export</v>
      </c>
    </row>
    <row r="81" spans="1:14" x14ac:dyDescent="0.25">
      <c r="A81" s="12">
        <v>45538</v>
      </c>
      <c r="B81" s="16" t="str">
        <f>IF(ISBLANK(Timesheet!B86),"","Global "&amp;Timesheet!B86&amp;" Port Wise Export")</f>
        <v>Global Methacrylic Acid Port Wise Export</v>
      </c>
      <c r="C81" s="16" t="str">
        <f>IF(ISBLANK(Timesheet!C86),"","Global "&amp;Timesheet!C86&amp;" Port Wise Export")</f>
        <v>Global Potassium Benzoate Port Wise Export</v>
      </c>
      <c r="D81" s="16" t="str">
        <f>IF(ISBLANK(Timesheet!D86),"","Global "&amp;Timesheet!D86&amp;" Port Wise Export")</f>
        <v>Global Glyoxylic Acid Port Wise Export</v>
      </c>
    </row>
    <row r="82" spans="1:14" x14ac:dyDescent="0.25">
      <c r="A82" s="12">
        <v>45539</v>
      </c>
      <c r="B82" s="16" t="str">
        <f>IF(ISBLANK(Timesheet!B87),"","Global "&amp;Timesheet!B87&amp;" Port Wise Export")</f>
        <v>Global Mono Ethylene Glycol (MEG) Port Wise Export</v>
      </c>
      <c r="C82" s="16" t="str">
        <f>IF(ISBLANK(Timesheet!C87),"","Global "&amp;Timesheet!C87&amp;" Port Wise Export")</f>
        <v>Global Acetone Port Wise Export</v>
      </c>
      <c r="D82" s="16" t="str">
        <f>IF(ISBLANK(Timesheet!D87),"","Global "&amp;Timesheet!D87&amp;" Port Wise Export")</f>
        <v>Global Polyamide Port Wise Export</v>
      </c>
    </row>
    <row r="83" spans="1:14" x14ac:dyDescent="0.25">
      <c r="A83" s="12">
        <v>45540</v>
      </c>
      <c r="B83" s="16" t="str">
        <f>IF(ISBLANK(Timesheet!B88),"","Global "&amp;Timesheet!B88&amp;" Port Wise Export")</f>
        <v>Global Acetone Port Wise Export</v>
      </c>
      <c r="C83" s="16" t="str">
        <f>IF(ISBLANK(Timesheet!C88),"","Global "&amp;Timesheet!C88&amp;" Port Wise Export")</f>
        <v>Global Soda Ash Port Wise Export</v>
      </c>
      <c r="D83" s="16" t="str">
        <f>IF(ISBLANK(Timesheet!D88),"","Global "&amp;Timesheet!D88&amp;" Port Wise Export")</f>
        <v>Global Mixed Xylene Port Wise Export</v>
      </c>
      <c r="E83" s="16" t="str">
        <f>IF(ISBLANK(Timesheet!E88),"","Global "&amp;Timesheet!E88&amp;" Port Wise Export")</f>
        <v>Global Styrene Copolymer Port Wise Export</v>
      </c>
      <c r="F83" s="16" t="str">
        <f>IF(ISBLANK(Timesheet!F88),"","Global "&amp;Timesheet!F88&amp;" Port Wise Export")</f>
        <v>Global Acrylic Acid Port Wise Export</v>
      </c>
      <c r="G83" s="16" t="str">
        <f>IF(ISBLANK(Timesheet!G88),"","Global "&amp;Timesheet!G88&amp;" Port Wise Export")</f>
        <v/>
      </c>
    </row>
    <row r="84" spans="1:14" x14ac:dyDescent="0.25">
      <c r="A84" s="12">
        <v>45541</v>
      </c>
      <c r="B84" s="16" t="str">
        <f>IF(ISBLANK(Timesheet!B89),"","Global "&amp;Timesheet!B89&amp;" Port Wise Export")</f>
        <v>Global Fluoroelastomer Port Wise Export</v>
      </c>
      <c r="C84" s="16" t="str">
        <f>IF(ISBLANK(Timesheet!C89),"","Global "&amp;Timesheet!C89&amp;" Port Wise Export")</f>
        <v>Global Bisphenol A Port Wise Export</v>
      </c>
      <c r="D84" s="16" t="str">
        <f>IF(ISBLANK(Timesheet!D89),"","Global "&amp;Timesheet!D89&amp;" Port Wise Export")</f>
        <v>Global Caustic Potash Port Wise Export</v>
      </c>
      <c r="E84" s="16" t="str">
        <f>IF(ISBLANK(Timesheet!E89),"","Global "&amp;Timesheet!E89&amp;" Port Wise Export")</f>
        <v>Global Dimethyl Carbonate Port Wise Export</v>
      </c>
      <c r="F84" s="16" t="str">
        <f>IF(ISBLANK(Timesheet!F89),"","Global "&amp;Timesheet!F89&amp;" Port Wise Export")</f>
        <v>Global Liquid Chlorine Port Wise Export</v>
      </c>
    </row>
    <row r="85" spans="1:14" x14ac:dyDescent="0.25">
      <c r="A85" s="12">
        <v>45544</v>
      </c>
      <c r="B85" s="16" t="str">
        <f>IF(ISBLANK(Timesheet!B90),"","Global "&amp;Timesheet!B90&amp;" Port Wise Export")</f>
        <v>Global Sulphur Port Wise Export</v>
      </c>
      <c r="C85" s="16" t="str">
        <f>IF(ISBLANK(Timesheet!C90),"","Global "&amp;Timesheet!C90&amp;" Port Wise Export")</f>
        <v>Global EPDM Rubber Port Wise Export</v>
      </c>
      <c r="D85" s="16" t="str">
        <f>IF(ISBLANK(Timesheet!D90),"","Global "&amp;Timesheet!D90&amp;" Port Wise Export")</f>
        <v>Global Ethylene Vinyl Acetate (EVA) Port Wise Export</v>
      </c>
      <c r="E85" s="16" t="str">
        <f>IF(ISBLANK(Timesheet!E90),"","Global "&amp;Timesheet!E90&amp;" Port Wise Export")</f>
        <v/>
      </c>
      <c r="F85" s="16" t="str">
        <f>IF(ISBLANK(Timesheet!F90),"","Global "&amp;Timesheet!F90&amp;" Port Wise Export")</f>
        <v/>
      </c>
    </row>
    <row r="86" spans="1:14" x14ac:dyDescent="0.25">
      <c r="A86" s="12">
        <v>45545</v>
      </c>
      <c r="B86" s="16" t="str">
        <f>IF(ISBLANK(Timesheet!B91),"","Global "&amp;Timesheet!B91&amp;" Port Wise Export")</f>
        <v>Global Epoxy Resin Port Wise Export</v>
      </c>
      <c r="C86" s="16" t="str">
        <f>IF(ISBLANK(Timesheet!C91),"","Global "&amp;Timesheet!C91&amp;" Port Wise Export")</f>
        <v>Global C10 Solvent Port Wise Export</v>
      </c>
      <c r="D86" s="16" t="str">
        <f>IF(ISBLANK(Timesheet!D91),"","Global "&amp;Timesheet!D91&amp;" Port Wise Export")</f>
        <v>Global C9 Solvent Port Wise Export</v>
      </c>
      <c r="E86" s="16" t="str">
        <f>IF(ISBLANK(Timesheet!E91),"","Global "&amp;Timesheet!E91&amp;" Port Wise Export")</f>
        <v>Global Iso Butyric Acid Port Wise Export</v>
      </c>
      <c r="F86" s="16" t="str">
        <f>IF(ISBLANK(Timesheet!F91),"","Global "&amp;Timesheet!F91&amp;" Port Wise Export")</f>
        <v>Global 2-Ethylhexyl Nitrate Port Wise Export</v>
      </c>
      <c r="G86" s="16" t="str">
        <f>IF(ISBLANK(Timesheet!G91),"","Global "&amp;Timesheet!G91&amp;" Port Wise Export")</f>
        <v>Global Erucic Acid Port Wise Export</v>
      </c>
      <c r="H86" s="16" t="str">
        <f>IF(ISBLANK(Timesheet!H91),"","Global "&amp;Timesheet!H91&amp;" Port Wise Export")</f>
        <v>Global Methyl Isobutyl Ketone (MIBK) Port Wise Export</v>
      </c>
      <c r="I86" s="16" t="str">
        <f>IF(ISBLANK(Timesheet!I91),"","Global "&amp;Timesheet!I91&amp;" Port Wise Export")</f>
        <v>Global Methylene Dichloride Port Wise Export</v>
      </c>
      <c r="J86" s="16" t="str">
        <f>IF(ISBLANK(Timesheet!J91),"","Global "&amp;Timesheet!J91&amp;" Port Wise Export")</f>
        <v>Global Benzyl Chloride Port Wise Export</v>
      </c>
      <c r="K86" s="16" t="str">
        <f>IF(ISBLANK(Timesheet!K91),"","Global "&amp;Timesheet!K91&amp;" Port Wise Export")</f>
        <v>Global NitroBenzene Port Wise Export</v>
      </c>
      <c r="L86" s="16"/>
      <c r="M86" s="16"/>
      <c r="N86" s="16"/>
    </row>
    <row r="87" spans="1:14" x14ac:dyDescent="0.25">
      <c r="A87" s="12">
        <v>45546</v>
      </c>
      <c r="B87" s="16" t="str">
        <f>IF(ISBLANK(Timesheet!B92),"","Global "&amp;Timesheet!B92&amp;" Port Wise Export")</f>
        <v>Global Sodium Lauryl Ether Sulphate (SLES) Port Wise Export</v>
      </c>
      <c r="C87" s="16" t="str">
        <f>IF(ISBLANK(Timesheet!C92),"","Global "&amp;Timesheet!C92&amp;" Port Wise Export")</f>
        <v>Global Phosphoric Acid Port Wise Export</v>
      </c>
      <c r="D87" s="16" t="str">
        <f>IF(ISBLANK(Timesheet!D92),"","Global "&amp;Timesheet!D92&amp;" Port Wise Export")</f>
        <v>Global Sulphuric Acid Port Wise Export</v>
      </c>
      <c r="E87" s="16" t="str">
        <f>IF(ISBLANK(Timesheet!E92),"","Global "&amp;Timesheet!E92&amp;" Port Wise Export")</f>
        <v>Global Ethylene Carbonate (EC) Port Wise Export</v>
      </c>
      <c r="F87" s="16" t="str">
        <f>IF(ISBLANK(Timesheet!F92),"","Global "&amp;Timesheet!F92&amp;" Port Wise Export")</f>
        <v>Global Caustic Soda Port Wise Export</v>
      </c>
      <c r="G87" s="16" t="str">
        <f>IF(ISBLANK(Timesheet!G92),"","Global "&amp;Timesheet!G92&amp;" Port Wise Export")</f>
        <v>Global Linear Alkyl Benzene (LAB) Port Wise Export</v>
      </c>
      <c r="H87" s="16" t="str">
        <f>IF(ISBLANK(Timesheet!H92),"","Global "&amp;Timesheet!H92&amp;" Port Wise Export")</f>
        <v>Global Linear Alkylbenzene Sulfonic Acid Port Wise Export</v>
      </c>
      <c r="I87" s="16" t="str">
        <f>IF(ISBLANK(Timesheet!I92),"","Global "&amp;Timesheet!I92&amp;" Port Wise Export")</f>
        <v/>
      </c>
    </row>
    <row r="88" spans="1:14" x14ac:dyDescent="0.25">
      <c r="A88" s="12">
        <v>45547</v>
      </c>
      <c r="B88" s="16" t="str">
        <f>IF(ISBLANK(Timesheet!B93),"","Global "&amp;Timesheet!B93&amp;" Port Wise Export")</f>
        <v>Global Calcium Carbonate Port Wise Export</v>
      </c>
      <c r="C88" s="16" t="str">
        <f>IF(ISBLANK(Timesheet!C93),"","Global "&amp;Timesheet!C93&amp;" Port Wise Export")</f>
        <v>Global Neoprene Rubber Port Wise Export</v>
      </c>
      <c r="D88" s="16" t="str">
        <f>IF(ISBLANK(Timesheet!D93),"","Global "&amp;Timesheet!D93&amp;" Port Wise Export")</f>
        <v>Global Sodium Sulphate Port Wise Export</v>
      </c>
      <c r="E88" s="16" t="str">
        <f>IF(ISBLANK(Timesheet!E93),"","Global "&amp;Timesheet!E93&amp;" Port Wise Export")</f>
        <v/>
      </c>
      <c r="F88" s="16" t="str">
        <f>IF(ISBLANK(Timesheet!F93),"","Global "&amp;Timesheet!F93&amp;" Port Wise Export")</f>
        <v/>
      </c>
    </row>
    <row r="89" spans="1:14" x14ac:dyDescent="0.25">
      <c r="A89" s="12">
        <v>45548</v>
      </c>
      <c r="B89" s="16" t="str">
        <f>IF(ISBLANK(Timesheet!B94),"","Global "&amp;Timesheet!B94&amp;" Port Wise Export")</f>
        <v>Global Polytetramethylene Ether Glycol (PTMEG) Port Wise Export</v>
      </c>
      <c r="C89" s="16" t="str">
        <f>IF(ISBLANK(Timesheet!C94),"","Global "&amp;Timesheet!C94&amp;" Port Wise Export")</f>
        <v>Global Dinitrochlorobenzene (DNCB) Port Wise Export</v>
      </c>
      <c r="D89" s="16" t="str">
        <f>IF(ISBLANK(Timesheet!D94),"","Global "&amp;Timesheet!D94&amp;" Port Wise Export")</f>
        <v>Global n-Butylene Port Wise Export</v>
      </c>
      <c r="E89" s="16" t="str">
        <f>IF(ISBLANK(Timesheet!E94),"","Global "&amp;Timesheet!E94&amp;" Port Wise Export")</f>
        <v>Global Diamino Sulfanilide Port Wise Export</v>
      </c>
      <c r="F89" s="16" t="str">
        <f>IF(ISBLANK(Timesheet!F94),"","Global "&amp;Timesheet!F94&amp;" Port Wise Export")</f>
        <v>Global Tallow Oil Port Wise Export</v>
      </c>
      <c r="G89" s="16" t="str">
        <f>IF(ISBLANK(Timesheet!G94),"","Global "&amp;Timesheet!G94&amp;" Port Wise Export")</f>
        <v>Global Metakaolin Port Wise Export</v>
      </c>
      <c r="H89" s="16" t="str">
        <f>IF(ISBLANK(Timesheet!H94),"","Global "&amp;Timesheet!H94&amp;" Port Wise Export")</f>
        <v>Global Dipropylene Glycol Monomethyl Ether Port Wise Export</v>
      </c>
      <c r="I89" s="16" t="str">
        <f>IF(ISBLANK(Timesheet!I94),"","Global "&amp;Timesheet!I94&amp;" Port Wise Export")</f>
        <v>Global Sorbitan Monostearate Port Wise Export</v>
      </c>
      <c r="J89" s="16" t="str">
        <f>IF(ISBLANK(Timesheet!J94),"","Global "&amp;Timesheet!J94&amp;" Port Wise Export")</f>
        <v/>
      </c>
    </row>
    <row r="90" spans="1:14" x14ac:dyDescent="0.25">
      <c r="A90" s="12">
        <v>45551</v>
      </c>
      <c r="B90" s="23" t="str">
        <f>IF(ISBLANK(Timesheet!B95),"","Global "&amp;Timesheet!B95&amp;" Port Wise Export")</f>
        <v>Global Stearic Acid Port Wise Export</v>
      </c>
      <c r="C90" s="23" t="str">
        <f>IF(ISBLANK(Timesheet!C95),"","Global "&amp;Timesheet!C95&amp;" Port Wise Export")</f>
        <v/>
      </c>
      <c r="D90" s="23" t="str">
        <f>IF(ISBLANK(Timesheet!D95),"","Global "&amp;Timesheet!D95&amp;" Port Wise Export")</f>
        <v/>
      </c>
      <c r="E90" s="16" t="str">
        <f>IF(ISBLANK(Timesheet!E95),"","Global "&amp;Timesheet!E95&amp;" Port Wise Export")</f>
        <v/>
      </c>
    </row>
    <row r="91" spans="1:14" x14ac:dyDescent="0.25">
      <c r="A91" s="12">
        <v>45552</v>
      </c>
      <c r="B91" s="23" t="str">
        <f>IF(ISBLANK(Timesheet!B96),"","Global "&amp;Timesheet!B96&amp;" Port Wise Export")</f>
        <v>Global Stearic Acid Port Wise Export</v>
      </c>
      <c r="C91" s="23" t="str">
        <f>IF(ISBLANK(Timesheet!C96),"","Global "&amp;Timesheet!C96&amp;" Port Wise Export")</f>
        <v/>
      </c>
      <c r="D91" s="23" t="str">
        <f>IF(ISBLANK(Timesheet!D96),"","Global "&amp;Timesheet!D96&amp;" Port Wise Export")</f>
        <v/>
      </c>
      <c r="E91" s="16" t="str">
        <f>IF(ISBLANK(Timesheet!E96),"","Global "&amp;Timesheet!E96&amp;" Port Wise Export")</f>
        <v/>
      </c>
    </row>
    <row r="92" spans="1:14" x14ac:dyDescent="0.25">
      <c r="A92" s="12">
        <v>45553</v>
      </c>
      <c r="B92" s="23" t="str">
        <f>IF(ISBLANK(Timesheet!B97),"","Global "&amp;Timesheet!B97&amp;" Port Wise Export")</f>
        <v>Global Stearic Acid Port Wise Export</v>
      </c>
      <c r="C92" s="23" t="str">
        <f>IF(ISBLANK(Timesheet!C97),"","Global "&amp;Timesheet!C97&amp;" Port Wise Export")</f>
        <v/>
      </c>
      <c r="D92" s="23" t="str">
        <f>IF(ISBLANK(Timesheet!D97),"","Global "&amp;Timesheet!D97&amp;" Port Wise Export")</f>
        <v/>
      </c>
      <c r="E92" s="16" t="str">
        <f>IF(ISBLANK(Timesheet!E97),"","Global "&amp;Timesheet!E97&amp;" Port Wise Export")</f>
        <v/>
      </c>
    </row>
    <row r="93" spans="1:14" x14ac:dyDescent="0.25">
      <c r="A93" s="12">
        <v>45554</v>
      </c>
      <c r="B93" s="16" t="str">
        <f>IF(ISBLANK(Timesheet!B98),"","Global "&amp;Timesheet!B98&amp;" Port Wise Export")</f>
        <v>Global Stearic Acid Port Wise Export</v>
      </c>
      <c r="C93" s="16" t="str">
        <f>IF(ISBLANK(Timesheet!C98),"","Global "&amp;Timesheet!C98&amp;" Port Wise Export")</f>
        <v>Global Cyclopentane Port Wise Export</v>
      </c>
      <c r="D93" s="16" t="str">
        <f>IF(ISBLANK(Timesheet!D98),"","Global "&amp;Timesheet!D98&amp;" Port Wise Export")</f>
        <v>Global Taurine Port Wise Export</v>
      </c>
      <c r="E93" s="16" t="str">
        <f>IF(ISBLANK(Timesheet!E98),"","Global "&amp;Timesheet!E98&amp;" Port Wise Export")</f>
        <v>Global Sodium Tetraborate Port Wise Export</v>
      </c>
    </row>
    <row r="94" spans="1:14" x14ac:dyDescent="0.25">
      <c r="A94" s="12">
        <v>45555</v>
      </c>
      <c r="B94" s="16" t="str">
        <f>IF(ISBLANK(Timesheet!B99),"","Global "&amp;Timesheet!B99&amp;" Port Wise Export")</f>
        <v>Global Epichlorohydrin Port Wise Export</v>
      </c>
      <c r="C94" s="16" t="str">
        <f>IF(ISBLANK(Timesheet!C99),"","Global "&amp;Timesheet!C99&amp;" Port Wise Export")</f>
        <v>Global Yellow Phosphorous Port Wise Export</v>
      </c>
      <c r="D94" s="16" t="str">
        <f>IF(ISBLANK(Timesheet!D99),"","Global "&amp;Timesheet!D99&amp;" Port Wise Export")</f>
        <v>Global Natural Steatite Port Wise Export</v>
      </c>
      <c r="E94" s="16" t="str">
        <f>IF(ISBLANK(Timesheet!E99),"","Global "&amp;Timesheet!E99&amp;" Port Wise Export")</f>
        <v>Global Tryptophan Port Wise Export</v>
      </c>
    </row>
    <row r="95" spans="1:14" x14ac:dyDescent="0.25">
      <c r="A95" s="12">
        <v>45558</v>
      </c>
      <c r="B95" s="16" t="str">
        <f>IF(ISBLANK(Timesheet!B100),"","Global "&amp;Timesheet!B100&amp;" Port Wise Export")</f>
        <v>Global Methyl Ethyl Ketone (MEK) Port Wise Export</v>
      </c>
      <c r="C95" s="16" t="str">
        <f>IF(ISBLANK(Timesheet!C100),"","Global "&amp;Timesheet!C100&amp;" Port Wise Export")</f>
        <v>Global Tartaric Acid Port Wise Export</v>
      </c>
      <c r="D95" s="16" t="str">
        <f>IF(ISBLANK(Timesheet!D100),"","Global "&amp;Timesheet!D100&amp;" Port Wise Export")</f>
        <v>Global Amlodipine Besylate Port Wise Export</v>
      </c>
      <c r="E95" s="16" t="str">
        <f>IF(ISBLANK(Timesheet!E100),"","Global "&amp;Timesheet!E100&amp;" Port Wise Export")</f>
        <v/>
      </c>
    </row>
    <row r="96" spans="1:14" x14ac:dyDescent="0.25">
      <c r="A96" s="12">
        <v>45559</v>
      </c>
      <c r="B96" s="16" t="str">
        <f>IF(ISBLANK(Timesheet!B101),"","Global "&amp;Timesheet!B101&amp;" Port Wise Export")</f>
        <v>Global Hydrochloric Acid Port Wise Export</v>
      </c>
      <c r="C96" s="16" t="str">
        <f>IF(ISBLANK(Timesheet!C101),"","Global "&amp;Timesheet!C101&amp;" Port Wise Export")</f>
        <v>Global Isobutylene Port Wise Export</v>
      </c>
      <c r="D96" s="16" t="str">
        <f>IF(ISBLANK(Timesheet!D101),"","Global "&amp;Timesheet!D101&amp;" Port Wise Export")</f>
        <v>Global Sodium Hypochlorite Port Wise Export</v>
      </c>
      <c r="E96" s="16" t="str">
        <f>IF(ISBLANK(Timesheet!E101),"","Global "&amp;Timesheet!E101&amp;" Port Wise Export")</f>
        <v>Global Triethanolamine Port Wise Export</v>
      </c>
    </row>
    <row r="97" spans="1:5" x14ac:dyDescent="0.25">
      <c r="A97" s="12">
        <v>45560</v>
      </c>
      <c r="B97" s="23" t="str">
        <f>IF(ISBLANK(Timesheet!B102),"","Global "&amp;Timesheet!B102&amp;" Port Wise Export")</f>
        <v>Global Carbon Black Port Wise Export</v>
      </c>
      <c r="C97" s="23" t="str">
        <f>IF(ISBLANK(Timesheet!C102),"","Global "&amp;Timesheet!C102&amp;" Port Wise Export")</f>
        <v/>
      </c>
      <c r="D97" s="23" t="str">
        <f>IF(ISBLANK(Timesheet!D102),"","Global "&amp;Timesheet!D102&amp;" Port Wise Export")</f>
        <v/>
      </c>
      <c r="E97" s="16" t="str">
        <f>IF(ISBLANK(Timesheet!E102),"","Global "&amp;Timesheet!E102&amp;" Port Wise Export")</f>
        <v/>
      </c>
    </row>
    <row r="98" spans="1:5" x14ac:dyDescent="0.25">
      <c r="A98" s="12">
        <v>45561</v>
      </c>
      <c r="B98" s="16" t="str">
        <f>IF(ISBLANK(Timesheet!B103),"","Global "&amp;Timesheet!B103&amp;" Port Wise Export")</f>
        <v>Global Carbon Black Port Wise Export</v>
      </c>
      <c r="C98" s="16" t="str">
        <f>IF(ISBLANK(Timesheet!C103),"","Global "&amp;Timesheet!C103&amp;" Port Wise Export")</f>
        <v/>
      </c>
      <c r="D98" s="16" t="str">
        <f>IF(ISBLANK(Timesheet!D103),"","Global "&amp;Timesheet!D103&amp;" Port Wise Export")</f>
        <v/>
      </c>
      <c r="E98" s="16" t="str">
        <f>IF(ISBLANK(Timesheet!E103),"","Global "&amp;Timesheet!E103&amp;" Port Wise Export")</f>
        <v/>
      </c>
    </row>
    <row r="99" spans="1:5" x14ac:dyDescent="0.25">
      <c r="A99" s="12">
        <v>45562</v>
      </c>
      <c r="B99" s="23" t="str">
        <f>IF(ISBLANK(Timesheet!B104),"","Global "&amp;Timesheet!B104&amp;" Port Wise Export")</f>
        <v>Global Glycerine Port Wise Export</v>
      </c>
      <c r="C99" s="23" t="str">
        <f>IF(ISBLANK(Timesheet!C104),"","Global "&amp;Timesheet!C104&amp;" Port Wise Export")</f>
        <v/>
      </c>
      <c r="D99" s="23" t="str">
        <f>IF(ISBLANK(Timesheet!D104),"","Global "&amp;Timesheet!D104&amp;" Port Wise Export")</f>
        <v/>
      </c>
      <c r="E99" s="16" t="str">
        <f>IF(ISBLANK(Timesheet!E104),"","Global "&amp;Timesheet!E104&amp;" Port Wise Export")</f>
        <v/>
      </c>
    </row>
    <row r="100" spans="1:5" x14ac:dyDescent="0.25">
      <c r="A100" s="12">
        <v>45565</v>
      </c>
      <c r="B100" s="23" t="str">
        <f>IF(ISBLANK(Timesheet!B105),"","Global "&amp;Timesheet!B105&amp;" Port Wise Export")</f>
        <v>Global Glycerine Port Wise Export</v>
      </c>
      <c r="C100" s="23" t="str">
        <f>IF(ISBLANK(Timesheet!C105),"","Global "&amp;Timesheet!C105&amp;" Port Wise Export")</f>
        <v/>
      </c>
      <c r="D100" s="23" t="str">
        <f>IF(ISBLANK(Timesheet!D105),"","Global "&amp;Timesheet!D105&amp;" Port Wise Export")</f>
        <v/>
      </c>
      <c r="E100" s="16" t="str">
        <f>IF(ISBLANK(Timesheet!E105),"","Global "&amp;Timesheet!E105&amp;" Port Wise Export")</f>
        <v/>
      </c>
    </row>
    <row r="101" spans="1:5" x14ac:dyDescent="0.25">
      <c r="A101" s="12">
        <v>45566</v>
      </c>
      <c r="B101" s="16" t="str">
        <f>IF(ISBLANK(Timesheet!B106),"","Global "&amp;Timesheet!B106&amp;" Port Wise Export")</f>
        <v>Global Glycerine Port Wise Export</v>
      </c>
      <c r="C101" s="16" t="str">
        <f>IF(ISBLANK(Timesheet!C106),"","Global "&amp;Timesheet!C106&amp;" Port Wise Export")</f>
        <v/>
      </c>
      <c r="D101" s="16" t="str">
        <f>IF(ISBLANK(Timesheet!D106),"","Global "&amp;Timesheet!D106&amp;" Port Wise Export")</f>
        <v/>
      </c>
      <c r="E101" s="16" t="str">
        <f>IF(ISBLANK(Timesheet!E106),"","Global "&amp;Timesheet!E106&amp;" Port Wise Export")</f>
        <v/>
      </c>
    </row>
    <row r="102" spans="1:5" x14ac:dyDescent="0.25">
      <c r="A102" s="12">
        <v>45567</v>
      </c>
      <c r="B102" s="23" t="s">
        <v>174</v>
      </c>
      <c r="C102" s="23" t="s">
        <v>174</v>
      </c>
      <c r="D102" s="23" t="s">
        <v>174</v>
      </c>
      <c r="E102" s="16" t="str">
        <f>IF(ISBLANK(Timesheet!E107),"","Global "&amp;Timesheet!E107&amp;" Port Wise Export")</f>
        <v/>
      </c>
    </row>
    <row r="103" spans="1:5" x14ac:dyDescent="0.25">
      <c r="A103" s="12">
        <v>45568</v>
      </c>
      <c r="B103" s="23" t="str">
        <f>IF(ISBLANK(Timesheet!B108),"","Global "&amp;Timesheet!B108&amp;" Port Wise Export")</f>
        <v>Global Polypropylene Port Wise Export</v>
      </c>
      <c r="C103" s="23" t="str">
        <f>IF(ISBLANK(Timesheet!C108),"","Global "&amp;Timesheet!C108&amp;" Port Wise Export")</f>
        <v/>
      </c>
      <c r="D103" s="23" t="str">
        <f>IF(ISBLANK(Timesheet!D108),"","Global "&amp;Timesheet!D108&amp;" Port Wise Export")</f>
        <v/>
      </c>
      <c r="E103" s="16" t="str">
        <f>IF(ISBLANK(Timesheet!E108),"","Global "&amp;Timesheet!E108&amp;" Port Wise Export")</f>
        <v/>
      </c>
    </row>
    <row r="104" spans="1:5" x14ac:dyDescent="0.25">
      <c r="A104" s="12">
        <v>45569</v>
      </c>
      <c r="B104" s="23" t="str">
        <f>IF(ISBLANK(Timesheet!B109),"","Global "&amp;Timesheet!B109&amp;" Port Wise Export")</f>
        <v>Global Polypropylene Port Wise Export</v>
      </c>
      <c r="C104" s="23" t="str">
        <f>IF(ISBLANK(Timesheet!C109),"","Global "&amp;Timesheet!C109&amp;" Port Wise Export")</f>
        <v/>
      </c>
      <c r="D104" s="23" t="str">
        <f>IF(ISBLANK(Timesheet!D109),"","Global "&amp;Timesheet!D109&amp;" Port Wise Export")</f>
        <v/>
      </c>
      <c r="E104" s="16" t="str">
        <f>IF(ISBLANK(Timesheet!E109),"","Global "&amp;Timesheet!E109&amp;" Port Wise Export")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5F10-9182-48D9-9E85-8D0F4F287182}">
  <dimension ref="D2:D171"/>
  <sheetViews>
    <sheetView topLeftCell="A157" workbookViewId="0">
      <selection activeCell="D174" sqref="D174"/>
    </sheetView>
  </sheetViews>
  <sheetFormatPr defaultRowHeight="15" x14ac:dyDescent="0.25"/>
  <cols>
    <col min="4" max="4" width="66.28515625" customWidth="1"/>
  </cols>
  <sheetData>
    <row r="2" spans="4:4" x14ac:dyDescent="0.25">
      <c r="D2" t="s">
        <v>126</v>
      </c>
    </row>
    <row r="3" spans="4:4" x14ac:dyDescent="0.25">
      <c r="D3" t="s">
        <v>127</v>
      </c>
    </row>
    <row r="5" spans="4:4" x14ac:dyDescent="0.25">
      <c r="D5" t="s">
        <v>128</v>
      </c>
    </row>
    <row r="9" spans="4:4" x14ac:dyDescent="0.25">
      <c r="D9" t="s">
        <v>130</v>
      </c>
    </row>
    <row r="12" spans="4:4" x14ac:dyDescent="0.25">
      <c r="D12" t="s">
        <v>131</v>
      </c>
    </row>
    <row r="13" spans="4:4" x14ac:dyDescent="0.25">
      <c r="D13" t="s">
        <v>132</v>
      </c>
    </row>
    <row r="15" spans="4:4" x14ac:dyDescent="0.25">
      <c r="D15" t="s">
        <v>133</v>
      </c>
    </row>
    <row r="18" spans="4:4" x14ac:dyDescent="0.25">
      <c r="D18" t="s">
        <v>134</v>
      </c>
    </row>
    <row r="19" spans="4:4" x14ac:dyDescent="0.25">
      <c r="D19" t="s">
        <v>135</v>
      </c>
    </row>
    <row r="21" spans="4:4" x14ac:dyDescent="0.25">
      <c r="D21" t="s">
        <v>136</v>
      </c>
    </row>
    <row r="22" spans="4:4" x14ac:dyDescent="0.25">
      <c r="D22" t="s">
        <v>137</v>
      </c>
    </row>
    <row r="23" spans="4:4" x14ac:dyDescent="0.25">
      <c r="D23" t="s">
        <v>138</v>
      </c>
    </row>
    <row r="25" spans="4:4" x14ac:dyDescent="0.25">
      <c r="D25" t="s">
        <v>139</v>
      </c>
    </row>
    <row r="26" spans="4:4" x14ac:dyDescent="0.25">
      <c r="D26" t="s">
        <v>140</v>
      </c>
    </row>
    <row r="28" spans="4:4" x14ac:dyDescent="0.25">
      <c r="D28" t="s">
        <v>141</v>
      </c>
    </row>
    <row r="31" spans="4:4" x14ac:dyDescent="0.25">
      <c r="D31" t="s">
        <v>143</v>
      </c>
    </row>
    <row r="33" spans="4:4" x14ac:dyDescent="0.25">
      <c r="D33" t="s">
        <v>145</v>
      </c>
    </row>
    <row r="35" spans="4:4" x14ac:dyDescent="0.25">
      <c r="D35" t="s">
        <v>146</v>
      </c>
    </row>
    <row r="36" spans="4:4" x14ac:dyDescent="0.25">
      <c r="D36" t="s">
        <v>147</v>
      </c>
    </row>
    <row r="37" spans="4:4" x14ac:dyDescent="0.25">
      <c r="D37" t="s">
        <v>148</v>
      </c>
    </row>
    <row r="38" spans="4:4" x14ac:dyDescent="0.25">
      <c r="D38" t="s">
        <v>149</v>
      </c>
    </row>
    <row r="39" spans="4:4" x14ac:dyDescent="0.25">
      <c r="D39" t="s">
        <v>150</v>
      </c>
    </row>
    <row r="40" spans="4:4" x14ac:dyDescent="0.25">
      <c r="D40" t="s">
        <v>151</v>
      </c>
    </row>
    <row r="41" spans="4:4" x14ac:dyDescent="0.25">
      <c r="D41" t="s">
        <v>152</v>
      </c>
    </row>
    <row r="43" spans="4:4" x14ac:dyDescent="0.25">
      <c r="D43" t="s">
        <v>154</v>
      </c>
    </row>
    <row r="44" spans="4:4" x14ac:dyDescent="0.25">
      <c r="D44" t="s">
        <v>155</v>
      </c>
    </row>
    <row r="45" spans="4:4" x14ac:dyDescent="0.25">
      <c r="D45" t="s">
        <v>156</v>
      </c>
    </row>
    <row r="46" spans="4:4" x14ac:dyDescent="0.25">
      <c r="D46" t="s">
        <v>157</v>
      </c>
    </row>
    <row r="48" spans="4:4" x14ac:dyDescent="0.25">
      <c r="D48" t="s">
        <v>159</v>
      </c>
    </row>
    <row r="49" spans="4:4" x14ac:dyDescent="0.25">
      <c r="D49" t="s">
        <v>160</v>
      </c>
    </row>
    <row r="51" spans="4:4" x14ac:dyDescent="0.25">
      <c r="D51" t="s">
        <v>157</v>
      </c>
    </row>
    <row r="52" spans="4:4" x14ac:dyDescent="0.25">
      <c r="D52" t="s">
        <v>161</v>
      </c>
    </row>
    <row r="54" spans="4:4" x14ac:dyDescent="0.25">
      <c r="D54" t="s">
        <v>163</v>
      </c>
    </row>
    <row r="56" spans="4:4" x14ac:dyDescent="0.25">
      <c r="D56" t="s">
        <v>166</v>
      </c>
    </row>
    <row r="58" spans="4:4" x14ac:dyDescent="0.25">
      <c r="D58" t="s">
        <v>171</v>
      </c>
    </row>
    <row r="60" spans="4:4" x14ac:dyDescent="0.25">
      <c r="D60" t="s">
        <v>173</v>
      </c>
    </row>
    <row r="62" spans="4:4" x14ac:dyDescent="0.25">
      <c r="D62" t="s">
        <v>133</v>
      </c>
    </row>
    <row r="63" spans="4:4" x14ac:dyDescent="0.25">
      <c r="D63" t="s">
        <v>175</v>
      </c>
    </row>
    <row r="64" spans="4:4" x14ac:dyDescent="0.25">
      <c r="D64" t="s">
        <v>176</v>
      </c>
    </row>
    <row r="66" spans="4:4" x14ac:dyDescent="0.25">
      <c r="D66" t="s">
        <v>177</v>
      </c>
    </row>
    <row r="67" spans="4:4" x14ac:dyDescent="0.25">
      <c r="D67" t="s">
        <v>178</v>
      </c>
    </row>
    <row r="69" spans="4:4" x14ac:dyDescent="0.25">
      <c r="D69" t="s">
        <v>179</v>
      </c>
    </row>
    <row r="71" spans="4:4" x14ac:dyDescent="0.25">
      <c r="D71" t="s">
        <v>180</v>
      </c>
    </row>
    <row r="72" spans="4:4" x14ac:dyDescent="0.25">
      <c r="D72" t="s">
        <v>181</v>
      </c>
    </row>
    <row r="73" spans="4:4" x14ac:dyDescent="0.25">
      <c r="D73" t="s">
        <v>182</v>
      </c>
    </row>
    <row r="75" spans="4:4" x14ac:dyDescent="0.25">
      <c r="D75" t="s">
        <v>184</v>
      </c>
    </row>
    <row r="76" spans="4:4" x14ac:dyDescent="0.25">
      <c r="D76" t="s">
        <v>185</v>
      </c>
    </row>
    <row r="78" spans="4:4" x14ac:dyDescent="0.25">
      <c r="D78" t="s">
        <v>186</v>
      </c>
    </row>
    <row r="79" spans="4:4" x14ac:dyDescent="0.25">
      <c r="D79" t="s">
        <v>187</v>
      </c>
    </row>
    <row r="81" spans="4:4" x14ac:dyDescent="0.25">
      <c r="D81" t="s">
        <v>188</v>
      </c>
    </row>
    <row r="83" spans="4:4" x14ac:dyDescent="0.25">
      <c r="D83" t="s">
        <v>189</v>
      </c>
    </row>
    <row r="84" spans="4:4" x14ac:dyDescent="0.25">
      <c r="D84" t="s">
        <v>190</v>
      </c>
    </row>
    <row r="86" spans="4:4" x14ac:dyDescent="0.25">
      <c r="D86" t="s">
        <v>191</v>
      </c>
    </row>
    <row r="88" spans="4:4" x14ac:dyDescent="0.25">
      <c r="D88" t="s">
        <v>127</v>
      </c>
    </row>
    <row r="89" spans="4:4" x14ac:dyDescent="0.25">
      <c r="D89" t="s">
        <v>193</v>
      </c>
    </row>
    <row r="91" spans="4:4" x14ac:dyDescent="0.25">
      <c r="D91" t="s">
        <v>196</v>
      </c>
    </row>
    <row r="93" spans="4:4" x14ac:dyDescent="0.25">
      <c r="D93" t="s">
        <v>200</v>
      </c>
    </row>
    <row r="94" spans="4:4" x14ac:dyDescent="0.25">
      <c r="D94" t="s">
        <v>201</v>
      </c>
    </row>
    <row r="95" spans="4:4" x14ac:dyDescent="0.25">
      <c r="D95" t="s">
        <v>202</v>
      </c>
    </row>
    <row r="97" spans="4:4" x14ac:dyDescent="0.25">
      <c r="D97" t="s">
        <v>206</v>
      </c>
    </row>
    <row r="98" spans="4:4" x14ac:dyDescent="0.25">
      <c r="D98" t="s">
        <v>207</v>
      </c>
    </row>
    <row r="99" spans="4:4" x14ac:dyDescent="0.25">
      <c r="D99" t="s">
        <v>208</v>
      </c>
    </row>
    <row r="101" spans="4:4" x14ac:dyDescent="0.25">
      <c r="D101" t="s">
        <v>209</v>
      </c>
    </row>
    <row r="102" spans="4:4" x14ac:dyDescent="0.25">
      <c r="D102" t="s">
        <v>126</v>
      </c>
    </row>
    <row r="103" spans="4:4" x14ac:dyDescent="0.25">
      <c r="D103" t="s">
        <v>128</v>
      </c>
    </row>
    <row r="105" spans="4:4" x14ac:dyDescent="0.25">
      <c r="D105" t="s">
        <v>126</v>
      </c>
    </row>
    <row r="106" spans="4:4" x14ac:dyDescent="0.25">
      <c r="D106" t="s">
        <v>210</v>
      </c>
    </row>
    <row r="107" spans="4:4" x14ac:dyDescent="0.25">
      <c r="D107" t="s">
        <v>131</v>
      </c>
    </row>
    <row r="108" spans="4:4" x14ac:dyDescent="0.25">
      <c r="D108" t="s">
        <v>132</v>
      </c>
    </row>
    <row r="109" spans="4:4" x14ac:dyDescent="0.25">
      <c r="D109" t="s">
        <v>134</v>
      </c>
    </row>
    <row r="111" spans="4:4" x14ac:dyDescent="0.25">
      <c r="D111" t="s">
        <v>135</v>
      </c>
    </row>
    <row r="112" spans="4:4" x14ac:dyDescent="0.25">
      <c r="D112" t="s">
        <v>136</v>
      </c>
    </row>
    <row r="113" spans="4:4" x14ac:dyDescent="0.25">
      <c r="D113" t="s">
        <v>137</v>
      </c>
    </row>
    <row r="114" spans="4:4" x14ac:dyDescent="0.25">
      <c r="D114" t="s">
        <v>138</v>
      </c>
    </row>
    <row r="115" spans="4:4" x14ac:dyDescent="0.25">
      <c r="D115" t="s">
        <v>139</v>
      </c>
    </row>
    <row r="117" spans="4:4" x14ac:dyDescent="0.25">
      <c r="D117" t="s">
        <v>140</v>
      </c>
    </row>
    <row r="118" spans="4:4" x14ac:dyDescent="0.25">
      <c r="D118" t="s">
        <v>145</v>
      </c>
    </row>
    <row r="119" spans="4:4" x14ac:dyDescent="0.25">
      <c r="D119" t="s">
        <v>141</v>
      </c>
    </row>
    <row r="121" spans="4:4" x14ac:dyDescent="0.25">
      <c r="D121" t="s">
        <v>143</v>
      </c>
    </row>
    <row r="122" spans="4:4" x14ac:dyDescent="0.25">
      <c r="D122" t="s">
        <v>146</v>
      </c>
    </row>
    <row r="123" spans="4:4" x14ac:dyDescent="0.25">
      <c r="D123" t="s">
        <v>147</v>
      </c>
    </row>
    <row r="124" spans="4:4" x14ac:dyDescent="0.25">
      <c r="D124" t="s">
        <v>148</v>
      </c>
    </row>
    <row r="125" spans="4:4" x14ac:dyDescent="0.25">
      <c r="D125" t="s">
        <v>150</v>
      </c>
    </row>
    <row r="126" spans="4:4" x14ac:dyDescent="0.25">
      <c r="D126" t="s">
        <v>151</v>
      </c>
    </row>
    <row r="127" spans="4:4" x14ac:dyDescent="0.25">
      <c r="D127" t="s">
        <v>152</v>
      </c>
    </row>
    <row r="128" spans="4:4" x14ac:dyDescent="0.25">
      <c r="D128" t="s">
        <v>155</v>
      </c>
    </row>
    <row r="129" spans="4:4" x14ac:dyDescent="0.25">
      <c r="D129" t="s">
        <v>154</v>
      </c>
    </row>
    <row r="130" spans="4:4" x14ac:dyDescent="0.25">
      <c r="D130" t="s">
        <v>161</v>
      </c>
    </row>
    <row r="132" spans="4:4" x14ac:dyDescent="0.25">
      <c r="D132" t="s">
        <v>163</v>
      </c>
    </row>
    <row r="133" spans="4:4" x14ac:dyDescent="0.25">
      <c r="D133" t="s">
        <v>166</v>
      </c>
    </row>
    <row r="134" spans="4:4" x14ac:dyDescent="0.25">
      <c r="D134" t="s">
        <v>156</v>
      </c>
    </row>
    <row r="135" spans="4:4" x14ac:dyDescent="0.25">
      <c r="D135" t="s">
        <v>159</v>
      </c>
    </row>
    <row r="136" spans="4:4" x14ac:dyDescent="0.25">
      <c r="D136" t="s">
        <v>171</v>
      </c>
    </row>
    <row r="137" spans="4:4" x14ac:dyDescent="0.25">
      <c r="D137" t="s">
        <v>160</v>
      </c>
    </row>
    <row r="138" spans="4:4" x14ac:dyDescent="0.25">
      <c r="D138" t="s">
        <v>157</v>
      </c>
    </row>
    <row r="141" spans="4:4" x14ac:dyDescent="0.25">
      <c r="D141" t="s">
        <v>219</v>
      </c>
    </row>
    <row r="142" spans="4:4" x14ac:dyDescent="0.25">
      <c r="D142" t="s">
        <v>220</v>
      </c>
    </row>
    <row r="143" spans="4:4" x14ac:dyDescent="0.25">
      <c r="D143" t="s">
        <v>221</v>
      </c>
    </row>
    <row r="144" spans="4:4" x14ac:dyDescent="0.25">
      <c r="D144" t="s">
        <v>222</v>
      </c>
    </row>
    <row r="145" spans="4:4" x14ac:dyDescent="0.25">
      <c r="D145" t="s">
        <v>223</v>
      </c>
    </row>
    <row r="146" spans="4:4" x14ac:dyDescent="0.25">
      <c r="D146" t="s">
        <v>224</v>
      </c>
    </row>
    <row r="147" spans="4:4" x14ac:dyDescent="0.25">
      <c r="D147" t="s">
        <v>225</v>
      </c>
    </row>
    <row r="148" spans="4:4" x14ac:dyDescent="0.25">
      <c r="D148" t="s">
        <v>226</v>
      </c>
    </row>
    <row r="150" spans="4:4" x14ac:dyDescent="0.25">
      <c r="D150" t="s">
        <v>232</v>
      </c>
    </row>
    <row r="151" spans="4:4" x14ac:dyDescent="0.25">
      <c r="D151" t="s">
        <v>233</v>
      </c>
    </row>
    <row r="152" spans="4:4" x14ac:dyDescent="0.25">
      <c r="D152" t="s">
        <v>234</v>
      </c>
    </row>
    <row r="153" spans="4:4" x14ac:dyDescent="0.25">
      <c r="D153" t="s">
        <v>235</v>
      </c>
    </row>
    <row r="155" spans="4:4" x14ac:dyDescent="0.25">
      <c r="D155" t="s">
        <v>240</v>
      </c>
    </row>
    <row r="156" spans="4:4" x14ac:dyDescent="0.25">
      <c r="D156" t="s">
        <v>241</v>
      </c>
    </row>
    <row r="157" spans="4:4" x14ac:dyDescent="0.25">
      <c r="D157" t="s">
        <v>242</v>
      </c>
    </row>
    <row r="158" spans="4:4" x14ac:dyDescent="0.25">
      <c r="D158" t="s">
        <v>243</v>
      </c>
    </row>
    <row r="160" spans="4:4" x14ac:dyDescent="0.25">
      <c r="D160" t="s">
        <v>247</v>
      </c>
    </row>
    <row r="161" spans="4:4" x14ac:dyDescent="0.25">
      <c r="D161" t="s">
        <v>248</v>
      </c>
    </row>
    <row r="162" spans="4:4" x14ac:dyDescent="0.25">
      <c r="D162" t="s">
        <v>249</v>
      </c>
    </row>
    <row r="164" spans="4:4" x14ac:dyDescent="0.25">
      <c r="D164" t="s">
        <v>254</v>
      </c>
    </row>
    <row r="165" spans="4:4" x14ac:dyDescent="0.25">
      <c r="D165" t="s">
        <v>255</v>
      </c>
    </row>
    <row r="166" spans="4:4" x14ac:dyDescent="0.25">
      <c r="D166" t="s">
        <v>256</v>
      </c>
    </row>
    <row r="167" spans="4:4" x14ac:dyDescent="0.25">
      <c r="D167" t="s">
        <v>257</v>
      </c>
    </row>
    <row r="169" spans="4:4" x14ac:dyDescent="0.25">
      <c r="D169" t="s">
        <v>259</v>
      </c>
    </row>
    <row r="171" spans="4:4" x14ac:dyDescent="0.25">
      <c r="D171" t="s">
        <v>261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Mail_Data</vt:lpstr>
      <vt:lpstr>Timesheet</vt:lpstr>
      <vt:lpstr>Mail Lines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Bhupendra Kumar</dc:creator>
  <cp:lastModifiedBy>Bhupendra Kumar</cp:lastModifiedBy>
  <dcterms:created xsi:type="dcterms:W3CDTF">2024-02-01T11:28:09Z</dcterms:created>
  <dcterms:modified xsi:type="dcterms:W3CDTF">2024-10-04T11:17:07Z</dcterms:modified>
</cp:coreProperties>
</file>